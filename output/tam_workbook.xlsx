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brendantoole/projects2/buildco4/output/"/>
    </mc:Choice>
  </mc:AlternateContent>
  <xr:revisionPtr revIDLastSave="0" documentId="11_98D565636470A7312D0F9884E4847726375125AA" xr6:coauthVersionLast="47" xr6:coauthVersionMax="47" xr10:uidLastSave="{00000000-0000-0000-0000-000000000000}"/>
  <bookViews>
    <workbookView xWindow="0" yWindow="760" windowWidth="34560" windowHeight="20420" xr2:uid="{00000000-000D-0000-FFFF-FFFF00000000}"/>
  </bookViews>
  <sheets>
    <sheet name="TAM summary" sheetId="1" r:id="rId1"/>
    <sheet name="By vessel class" sheetId="2" r:id="rId2"/>
    <sheet name="All line items" sheetId="3" r:id="rId3"/>
    <sheet name="PB-61 detail" sheetId="4" r:id="rId4"/>
    <sheet name="Sources and methodology" sheetId="5" r:id="rId5"/>
  </sheets>
  <definedNames>
    <definedName name="_xlnm._FilterDatabase" localSheetId="2" hidden="1">'All line items'!$A$4:$J$125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5" l="1"/>
  <c r="B42" i="5"/>
  <c r="B41" i="5"/>
  <c r="B40" i="5"/>
  <c r="B39" i="5"/>
  <c r="B38" i="5"/>
  <c r="C37" i="5"/>
  <c r="D37" i="5" s="1"/>
  <c r="E37" i="5" s="1"/>
  <c r="B37" i="5"/>
  <c r="J49" i="2"/>
  <c r="I49" i="2"/>
  <c r="H49" i="2"/>
  <c r="G49" i="2"/>
  <c r="J48" i="2"/>
  <c r="I48" i="2"/>
  <c r="H48" i="2"/>
  <c r="G48" i="2"/>
  <c r="F48" i="2"/>
  <c r="F49" i="2" s="1"/>
  <c r="E48" i="2"/>
  <c r="E49" i="2" s="1"/>
  <c r="D48" i="2"/>
  <c r="D49" i="2" s="1"/>
  <c r="C48" i="2"/>
  <c r="C49" i="2" s="1"/>
  <c r="B48" i="2"/>
  <c r="B49" i="2" s="1"/>
  <c r="D47" i="2"/>
  <c r="C47" i="2"/>
  <c r="B47" i="2"/>
  <c r="J46" i="2"/>
  <c r="J47" i="2" s="1"/>
  <c r="I46" i="2"/>
  <c r="I47" i="2" s="1"/>
  <c r="H46" i="2"/>
  <c r="H47" i="2" s="1"/>
  <c r="G46" i="2"/>
  <c r="C40" i="5" s="1"/>
  <c r="F46" i="2"/>
  <c r="F47" i="2" s="1"/>
  <c r="E46" i="2"/>
  <c r="E47" i="2" s="1"/>
  <c r="K47" i="2" s="1"/>
  <c r="D46" i="2"/>
  <c r="C46" i="2"/>
  <c r="B46" i="2"/>
  <c r="K45" i="2"/>
  <c r="K43" i="2"/>
  <c r="K42" i="2"/>
  <c r="K40" i="2"/>
  <c r="K39" i="2"/>
  <c r="K38" i="2"/>
  <c r="K37" i="2"/>
  <c r="K36" i="2"/>
  <c r="K35" i="2"/>
  <c r="K34" i="2"/>
  <c r="K33" i="2"/>
  <c r="K31" i="2"/>
  <c r="K30" i="2"/>
  <c r="K29" i="2"/>
  <c r="K28" i="2"/>
  <c r="K27" i="2"/>
  <c r="K26" i="2"/>
  <c r="K25" i="2"/>
  <c r="K24" i="2"/>
  <c r="K23" i="2"/>
  <c r="K21" i="2"/>
  <c r="K20" i="2"/>
  <c r="K19" i="2"/>
  <c r="K18" i="2"/>
  <c r="K17" i="2"/>
  <c r="K15" i="2"/>
  <c r="K14" i="2"/>
  <c r="K13" i="2"/>
  <c r="K12" i="2"/>
  <c r="K46" i="2" s="1"/>
  <c r="K11" i="2"/>
  <c r="K10" i="2"/>
  <c r="K8" i="2"/>
  <c r="K7" i="2"/>
  <c r="K6" i="2"/>
  <c r="G13" i="1"/>
  <c r="H11" i="1" s="1"/>
  <c r="F13" i="1"/>
  <c r="E13" i="1"/>
  <c r="D13" i="1"/>
  <c r="C13" i="1"/>
  <c r="G12" i="1"/>
  <c r="I6" i="1" s="1"/>
  <c r="F12" i="1"/>
  <c r="E12" i="1"/>
  <c r="D12" i="1"/>
  <c r="C12" i="1"/>
  <c r="I11" i="1"/>
  <c r="I8" i="1"/>
  <c r="H8" i="1"/>
  <c r="I7" i="1"/>
  <c r="H7" i="1"/>
  <c r="H6" i="1"/>
  <c r="H5" i="1"/>
  <c r="D40" i="5" l="1"/>
  <c r="E40" i="5" s="1"/>
  <c r="C41" i="5"/>
  <c r="D41" i="5" s="1"/>
  <c r="E41" i="5" s="1"/>
  <c r="C38" i="5"/>
  <c r="D38" i="5" s="1"/>
  <c r="E38" i="5" s="1"/>
  <c r="C42" i="5"/>
  <c r="D42" i="5" s="1"/>
  <c r="E42" i="5" s="1"/>
  <c r="K48" i="2"/>
  <c r="H9" i="1"/>
  <c r="I9" i="1"/>
  <c r="G47" i="2"/>
  <c r="H10" i="1"/>
  <c r="C39" i="5"/>
  <c r="D39" i="5" s="1"/>
  <c r="E39" i="5" s="1"/>
  <c r="C43" i="5"/>
  <c r="D43" i="5" s="1"/>
  <c r="E43" i="5" s="1"/>
  <c r="I10" i="1"/>
</calcChain>
</file>

<file path=xl/sharedStrings.xml><?xml version="1.0" encoding="utf-8"?>
<sst xmlns="http://schemas.openxmlformats.org/spreadsheetml/2006/main" count="1025" uniqueCount="421">
  <si>
    <t>TAM summary</t>
  </si>
  <si>
    <t>Top-down TAM by bucket — FY24 through FY26, with OBBA reconciliation breakout</t>
  </si>
  <si>
    <t>All figures in USD thousands ($K)</t>
  </si>
  <si>
    <t>#</t>
  </si>
  <si>
    <t>Bucket</t>
  </si>
  <si>
    <t>FY24 Actual</t>
  </si>
  <si>
    <t>FY25 Enacted</t>
  </si>
  <si>
    <t>FY26 Request</t>
  </si>
  <si>
    <t>FY26 OBBA</t>
  </si>
  <si>
    <t>FY26 Total</t>
  </si>
  <si>
    <t>% of Full TAM</t>
  </si>
  <si>
    <t>% of In-Service</t>
  </si>
  <si>
    <t>New Construction</t>
  </si>
  <si>
    <t>—</t>
  </si>
  <si>
    <t>Scheduled Depot Maintenance &amp; Repair</t>
  </si>
  <si>
    <t>Continuous / Intermediate / Emergent</t>
  </si>
  <si>
    <t>Modernization &amp; Alteration Installation</t>
  </si>
  <si>
    <t>Major Life-Cycle Events (RCOH/SLEP/MMA)</t>
  </si>
  <si>
    <t>Sustainment Engineering / Planning</t>
  </si>
  <si>
    <t>Availability Support / Port Services</t>
  </si>
  <si>
    <t>In-Service (Buckets 2–7)</t>
  </si>
  <si>
    <t>Full TAM</t>
  </si>
  <si>
    <t>By vessel class</t>
  </si>
  <si>
    <t>FY26 spending by vessel class and bucket — budget book data only, no analyst estimates</t>
  </si>
  <si>
    <t>All figures in USD thousands ($K), FY26</t>
  </si>
  <si>
    <t>Vessel Class</t>
  </si>
  <si>
    <t>B1 Request</t>
  </si>
  <si>
    <t>B1 OBBA</t>
  </si>
  <si>
    <t>B1 Total</t>
  </si>
  <si>
    <t>B2</t>
  </si>
  <si>
    <t>B3</t>
  </si>
  <si>
    <t>B4</t>
  </si>
  <si>
    <t>B5</t>
  </si>
  <si>
    <t>B6</t>
  </si>
  <si>
    <t>B7</t>
  </si>
  <si>
    <t>Row Total</t>
  </si>
  <si>
    <t>Navy Submarines</t>
  </si>
  <si>
    <t>SSBN (Columbia)</t>
  </si>
  <si>
    <t>N/A</t>
  </si>
  <si>
    <t>SSN (Virginia)</t>
  </si>
  <si>
    <t>SSN/SSBN (in-service)</t>
  </si>
  <si>
    <t>Navy Surface</t>
  </si>
  <si>
    <t>CVN (Nimitz/Ford)</t>
  </si>
  <si>
    <t>DDG-51</t>
  </si>
  <si>
    <t>DDG-1000</t>
  </si>
  <si>
    <t>CG (Ticonderoga)</t>
  </si>
  <si>
    <t>FFG-62</t>
  </si>
  <si>
    <t>LCS</t>
  </si>
  <si>
    <t>Navy Amphibious</t>
  </si>
  <si>
    <t>Amphibious (combined)</t>
  </si>
  <si>
    <t>LPD Flight II</t>
  </si>
  <si>
    <t>LHA</t>
  </si>
  <si>
    <t>LSD</t>
  </si>
  <si>
    <t>LSM</t>
  </si>
  <si>
    <t>Navy Auxiliaries</t>
  </si>
  <si>
    <t>T-AO (John Lewis)</t>
  </si>
  <si>
    <t>T-AGOS</t>
  </si>
  <si>
    <t>SSC/LCAC</t>
  </si>
  <si>
    <t>LCU 1700</t>
  </si>
  <si>
    <t>Sealift (Strategic + Used)</t>
  </si>
  <si>
    <t>LCC</t>
  </si>
  <si>
    <t>ESB/ESD</t>
  </si>
  <si>
    <t>MSC Fleet</t>
  </si>
  <si>
    <t>Service Craft / APL</t>
  </si>
  <si>
    <t>Coast Guard</t>
  </si>
  <si>
    <t>CG: OPC (Heritage)</t>
  </si>
  <si>
    <t>CG: FRC (Sentinel)</t>
  </si>
  <si>
    <t>CG: PSC / WCC / Icebreaker</t>
  </si>
  <si>
    <t>CG: WMEC-270</t>
  </si>
  <si>
    <t>CG: WLM-175</t>
  </si>
  <si>
    <t>CG: MLB-47</t>
  </si>
  <si>
    <t>CG: Healy / WMSL</t>
  </si>
  <si>
    <t>CG: RB-M</t>
  </si>
  <si>
    <t>Multi-class</t>
  </si>
  <si>
    <t>Outfitting (all newbuild)</t>
  </si>
  <si>
    <t>PY Completion (multi-class)</t>
  </si>
  <si>
    <t>CG In-service</t>
  </si>
  <si>
    <t>CG: In-service O&amp;S</t>
  </si>
  <si>
    <t>Subtotal (allocated)</t>
  </si>
  <si>
    <t>Not allocated to class</t>
  </si>
  <si>
    <t>Total</t>
  </si>
  <si>
    <t>QA Check</t>
  </si>
  <si>
    <t>All line items</t>
  </si>
  <si>
    <t>Master list of all extracted line items across all seven buckets</t>
  </si>
  <si>
    <t>Source</t>
  </si>
  <si>
    <t>Line Item</t>
  </si>
  <si>
    <t>Performer</t>
  </si>
  <si>
    <t>FY24</t>
  </si>
  <si>
    <t>FY25</t>
  </si>
  <si>
    <t>Confidence</t>
  </si>
  <si>
    <t>Notes</t>
  </si>
  <si>
    <t>SCN L1+L2</t>
  </si>
  <si>
    <t>Columbia Class (ship + AP)</t>
  </si>
  <si>
    <t>GD Electric Boat / HII NNS</t>
  </si>
  <si>
    <t>High</t>
  </si>
  <si>
    <t>FY24 zero = no new TOA</t>
  </si>
  <si>
    <t>SCN L8+L9</t>
  </si>
  <si>
    <t>Virginia Class (ship + AP)</t>
  </si>
  <si>
    <t>FY26: $4.8B Req + $6.3B OBBA</t>
  </si>
  <si>
    <t>SCN L5+L6+L7</t>
  </si>
  <si>
    <t>CVN-81 Carrier Replacement</t>
  </si>
  <si>
    <t>CVN (Ford)</t>
  </si>
  <si>
    <t>HII Newport News</t>
  </si>
  <si>
    <t>CVN-80 SFF + CVN-81 ramp</t>
  </si>
  <si>
    <t>SCN L13+L14</t>
  </si>
  <si>
    <t>DDG-51 (ship + AP)</t>
  </si>
  <si>
    <t>DDG-51 (Flt III)</t>
  </si>
  <si>
    <t>HII Ingalls / GD BIW</t>
  </si>
  <si>
    <t>FY26: $11K Req + $5.4B OBBA</t>
  </si>
  <si>
    <t>SCN L12</t>
  </si>
  <si>
    <t>DDG-1000 Completion</t>
  </si>
  <si>
    <t>GD Bath Iron Works</t>
  </si>
  <si>
    <t>Completion/CPS only</t>
  </si>
  <si>
    <t>SCN L16</t>
  </si>
  <si>
    <t>FFG-62 Constellation</t>
  </si>
  <si>
    <t>Marinette Marine</t>
  </si>
  <si>
    <t>No FY26 funding</t>
  </si>
  <si>
    <t>SCN L15</t>
  </si>
  <si>
    <t>LCS Completion</t>
  </si>
  <si>
    <t>Austal USA / LM</t>
  </si>
  <si>
    <t>Program ending</t>
  </si>
  <si>
    <t>SCN L19+L20+L21</t>
  </si>
  <si>
    <t>LPD</t>
  </si>
  <si>
    <t>HII Ingalls</t>
  </si>
  <si>
    <t>FY26 entirely OBBA</t>
  </si>
  <si>
    <t>SCN L24+L25</t>
  </si>
  <si>
    <t>LHA Replacement</t>
  </si>
  <si>
    <t>SCN L27</t>
  </si>
  <si>
    <t>Medium Landing Ship</t>
  </si>
  <si>
    <t>TBD</t>
  </si>
  <si>
    <t>9-ship block buy in OBBA</t>
  </si>
  <si>
    <t>SCN L31</t>
  </si>
  <si>
    <t>T-AO Fleet Oiler</t>
  </si>
  <si>
    <t>T-AO</t>
  </si>
  <si>
    <t>GD NASSCO</t>
  </si>
  <si>
    <t>FY26: $8K Req + $1.85B OBBA</t>
  </si>
  <si>
    <t>SCN L34</t>
  </si>
  <si>
    <t>TAGOS Surtass Ships</t>
  </si>
  <si>
    <t>SCN L35</t>
  </si>
  <si>
    <t>ATS (Towing/Salvage)</t>
  </si>
  <si>
    <t>ATS</t>
  </si>
  <si>
    <t>Completion only</t>
  </si>
  <si>
    <t>SCN L37</t>
  </si>
  <si>
    <t>Oceanographic Ships</t>
  </si>
  <si>
    <t>T-AGS</t>
  </si>
  <si>
    <t>SCN L39</t>
  </si>
  <si>
    <t>LCU</t>
  </si>
  <si>
    <t>FY26 OBBA: 9 craft</t>
  </si>
  <si>
    <t>SCN L40</t>
  </si>
  <si>
    <t>Strategic Sealift</t>
  </si>
  <si>
    <t>Sealift</t>
  </si>
  <si>
    <t>SCN L42</t>
  </si>
  <si>
    <t>Ship to Shore Connector</t>
  </si>
  <si>
    <t>SSC</t>
  </si>
  <si>
    <t>Textron</t>
  </si>
  <si>
    <t>LCAC replacement</t>
  </si>
  <si>
    <t>SCN L43</t>
  </si>
  <si>
    <t>Service Craft</t>
  </si>
  <si>
    <t>Various</t>
  </si>
  <si>
    <t>SCN L44</t>
  </si>
  <si>
    <t>Aux Personnel Lighter</t>
  </si>
  <si>
    <t>APL</t>
  </si>
  <si>
    <t>SCN L48</t>
  </si>
  <si>
    <t>Auxiliary Vessels (Used Sealift)</t>
  </si>
  <si>
    <t>Used vessel acquisition</t>
  </si>
  <si>
    <t>SCN L41</t>
  </si>
  <si>
    <t>Post-delivery outfitting</t>
  </si>
  <si>
    <t>SCN L49</t>
  </si>
  <si>
    <t>PY Completion (Bucket 1 share)</t>
  </si>
  <si>
    <t>CTC minus RCOH/LCAC</t>
  </si>
  <si>
    <t>USCG PC&amp;I</t>
  </si>
  <si>
    <t>Offshore Patrol Cutter</t>
  </si>
  <si>
    <t>CG: OPC</t>
  </si>
  <si>
    <t>Eastern Shipbuilding</t>
  </si>
  <si>
    <t>OPCs #8-9; LLTM #10-11</t>
  </si>
  <si>
    <t>Fast Response Cutter</t>
  </si>
  <si>
    <t>CG: FRC</t>
  </si>
  <si>
    <t>Bollinger</t>
  </si>
  <si>
    <t>FRCs #62-64</t>
  </si>
  <si>
    <t>Polar Security Cutter</t>
  </si>
  <si>
    <t>CG: PSC</t>
  </si>
  <si>
    <t>PSC #1 construction</t>
  </si>
  <si>
    <t>Waterways Commerce Cutter</t>
  </si>
  <si>
    <t>CG: WCC</t>
  </si>
  <si>
    <t>NSC Completion</t>
  </si>
  <si>
    <t>CG: NSC</t>
  </si>
  <si>
    <t>Complete after FY25</t>
  </si>
  <si>
    <t>Commercial Polar Icebreaker</t>
  </si>
  <si>
    <t>CG: Icebreaker</t>
  </si>
  <si>
    <t>Commercial</t>
  </si>
  <si>
    <t>CGC Storis acquisition</t>
  </si>
  <si>
    <t>Great Lakes Icebreaker</t>
  </si>
  <si>
    <t>OMN 1B4B</t>
  </si>
  <si>
    <t>Ship Modernization Program (SMP)</t>
  </si>
  <si>
    <t>Mixed</t>
  </si>
  <si>
    <t>NME / 2-Hatch Ships</t>
  </si>
  <si>
    <t>NME / 4-Hatch Ships</t>
  </si>
  <si>
    <t>NME / Submarine Availability</t>
  </si>
  <si>
    <t>SSN/SSBN</t>
  </si>
  <si>
    <t>Public Yard</t>
  </si>
  <si>
    <t>Primarily NNSY/PHNSY</t>
  </si>
  <si>
    <t>NME / Industrial Base</t>
  </si>
  <si>
    <t>NME / NAVPLAN</t>
  </si>
  <si>
    <t>NME / SSN-to-Repair</t>
  </si>
  <si>
    <t>Public yard sub repair</t>
  </si>
  <si>
    <t>NME / Carrier</t>
  </si>
  <si>
    <t>CVN</t>
  </si>
  <si>
    <t>NME / Amphibious</t>
  </si>
  <si>
    <t>Amphibious</t>
  </si>
  <si>
    <t>Private</t>
  </si>
  <si>
    <t>NME / LCS</t>
  </si>
  <si>
    <t>NME / DDG</t>
  </si>
  <si>
    <t>MSC M&amp;R (transfer from NWCF)</t>
  </si>
  <si>
    <t>Medium</t>
  </si>
  <si>
    <t>New FY26 transfer</t>
  </si>
  <si>
    <t>Residual NME rounding</t>
  </si>
  <si>
    <t>Low</t>
  </si>
  <si>
    <t>SAG total controls</t>
  </si>
  <si>
    <t>OPN BA1</t>
  </si>
  <si>
    <t>L26 Ship Maint, Repair &amp; Mod</t>
  </si>
  <si>
    <t>OPN material for depot</t>
  </si>
  <si>
    <t>USCG O&amp;S</t>
  </si>
  <si>
    <t>Bucket 2 share (60% of O&amp;S 25.7)</t>
  </si>
  <si>
    <t>CG: fleet</t>
  </si>
  <si>
    <t>Analyst 60% allocation</t>
  </si>
  <si>
    <t>CMMP (Continuous Maint &amp; Mod)</t>
  </si>
  <si>
    <t>Expedited M&amp;M</t>
  </si>
  <si>
    <t>OMN 1B5B</t>
  </si>
  <si>
    <t>RMC</t>
  </si>
  <si>
    <t>Regional Maint Centers</t>
  </si>
  <si>
    <t>Bucket 3 share (40% of O&amp;S 25.7)</t>
  </si>
  <si>
    <t>Analyst 40% allocation</t>
  </si>
  <si>
    <t>L1 Surface Power Equipment</t>
  </si>
  <si>
    <t>L2 Surface Combatant HM&amp;E</t>
  </si>
  <si>
    <t>L4 Sub Periscope/Imaging</t>
  </si>
  <si>
    <t>L5 DDG Mod</t>
  </si>
  <si>
    <t>L8 LHA/LHD Midlife</t>
  </si>
  <si>
    <t>LHA/LHD</t>
  </si>
  <si>
    <t>L11 Submarine Support Equipment</t>
  </si>
  <si>
    <t>L12 Virginia Class Support</t>
  </si>
  <si>
    <t>L13 LCS Class Support</t>
  </si>
  <si>
    <t>Declining</t>
  </si>
  <si>
    <t>L15 LPD Class Support</t>
  </si>
  <si>
    <t>L16 DDG-1000 Class Support</t>
  </si>
  <si>
    <t>L17 Strategic Platform Support</t>
  </si>
  <si>
    <t>L21 LCAC</t>
  </si>
  <si>
    <t>L28 Reactor Components</t>
  </si>
  <si>
    <t>Subs + carriers</t>
  </si>
  <si>
    <t>L33 LCS Common Mission Modules</t>
  </si>
  <si>
    <t>L34 LCS MCM Mission Modules</t>
  </si>
  <si>
    <t>L36 LCS SUW Mission Modules</t>
  </si>
  <si>
    <t>L37 LCS In-Service Mod</t>
  </si>
  <si>
    <t>L40 LSD Midlife &amp; Mod</t>
  </si>
  <si>
    <t>OPN BA2</t>
  </si>
  <si>
    <t>L43 AN/SQQ-89</t>
  </si>
  <si>
    <t>DDG/CG sonar</t>
  </si>
  <si>
    <t>L44 SSN Acoustic (80%)</t>
  </si>
  <si>
    <t>80% in-service share</t>
  </si>
  <si>
    <t>L46 Sub Acoustic Warfare</t>
  </si>
  <si>
    <t>L50 AN/SLQ-32 SEWIP</t>
  </si>
  <si>
    <t>L51 Shipboard IW Exploit</t>
  </si>
  <si>
    <t>L53 CEC (95%)</t>
  </si>
  <si>
    <t>L70 CANES (99%)</t>
  </si>
  <si>
    <t>L72 CANES-Intell (99%)</t>
  </si>
  <si>
    <t>L78 In-Service Radars/Sensors</t>
  </si>
  <si>
    <t>L79 Battle Force Tactical Net</t>
  </si>
  <si>
    <t>L80 Shipboard Tactical Comms (90%)</t>
  </si>
  <si>
    <t>L81 Ship Comms Automation (75%)</t>
  </si>
  <si>
    <t>OPN BA4</t>
  </si>
  <si>
    <t>BLI 125 Ship Gun Systems</t>
  </si>
  <si>
    <t>BLI 126 Harpoon</t>
  </si>
  <si>
    <t>BLI 127 Ship Missile Support</t>
  </si>
  <si>
    <t>BLI 128 Tomahawk (70%)</t>
  </si>
  <si>
    <t>BLI 130 Strategic Missile (50%)</t>
  </si>
  <si>
    <t>BLI 131 SSN Combat Control (86%)</t>
  </si>
  <si>
    <t>BLI 132 ASW Support</t>
  </si>
  <si>
    <t>BLI 134 Directed Energy / ODIN</t>
  </si>
  <si>
    <t>BLI 136 Anti-Ship Missile Decoy</t>
  </si>
  <si>
    <t>ISSS</t>
  </si>
  <si>
    <t>In-Service Ship Systems</t>
  </si>
  <si>
    <t>C4ISR</t>
  </si>
  <si>
    <t>Cyber/EMP (50% vessel share)</t>
  </si>
  <si>
    <t>SCN</t>
  </si>
  <si>
    <t>CVN RCOH SFF (CVN 75)</t>
  </si>
  <si>
    <t>HII-NNS</t>
  </si>
  <si>
    <t>CVN RCOH CTC (CVN 74)</t>
  </si>
  <si>
    <t>CVN RCOH Outfitting</t>
  </si>
  <si>
    <t>LCAC SLEP (ESLEP)</t>
  </si>
  <si>
    <t>Walashek</t>
  </si>
  <si>
    <t>LCAC SLEP Outfitting</t>
  </si>
  <si>
    <t>L9 LCC ESLP</t>
  </si>
  <si>
    <t>47-ft MLB SLEP</t>
  </si>
  <si>
    <t>CG: MLB</t>
  </si>
  <si>
    <t>CG Yard/Private</t>
  </si>
  <si>
    <t>270-ft WMEC SLEP</t>
  </si>
  <si>
    <t>CG: WMEC</t>
  </si>
  <si>
    <t>CG Yard</t>
  </si>
  <si>
    <t>175-ft WLM MMA</t>
  </si>
  <si>
    <t>CG: WLM</t>
  </si>
  <si>
    <t>CGC Healy SLEP</t>
  </si>
  <si>
    <t>CG: Healy</t>
  </si>
  <si>
    <t>418-ft WMSL MMA</t>
  </si>
  <si>
    <t>CG: WMSL</t>
  </si>
  <si>
    <t>New FY26</t>
  </si>
  <si>
    <t>Boats RB-M SLEP portion</t>
  </si>
  <si>
    <t>DDG-1000 Maintenance &amp; Support</t>
  </si>
  <si>
    <t>Mine Countermeasures Support</t>
  </si>
  <si>
    <t>MCM</t>
  </si>
  <si>
    <t>PRE/PRL CV/CVN Tech Support</t>
  </si>
  <si>
    <t>Service Craft/Boats/Targets</t>
  </si>
  <si>
    <t>Surface &amp; Amphib Ship Support</t>
  </si>
  <si>
    <t>Nuclear Propulsion Tech Logistics</t>
  </si>
  <si>
    <t>SUPSHIP Costs</t>
  </si>
  <si>
    <t>NMP Total</t>
  </si>
  <si>
    <t>NMMES</t>
  </si>
  <si>
    <t>Smart Work / TOC</t>
  </si>
  <si>
    <t>CSOSS</t>
  </si>
  <si>
    <t>NAVSEA HQ Civilian Personnel &amp; IT</t>
  </si>
  <si>
    <t>HQ overhead</t>
  </si>
  <si>
    <t>OPN BA8</t>
  </si>
  <si>
    <t>BLI 9020</t>
  </si>
  <si>
    <t>War reserve/initial spares</t>
  </si>
  <si>
    <t>Survey &amp; Design</t>
  </si>
  <si>
    <t>Analyst estimate</t>
  </si>
  <si>
    <t>PO&amp;M (50% vessel share)</t>
  </si>
  <si>
    <t>Berthing &amp; Messing</t>
  </si>
  <si>
    <t>Facilities / Supply Ops (SIOP)</t>
  </si>
  <si>
    <t>Other embedded support</t>
  </si>
  <si>
    <t>Estimated</t>
  </si>
  <si>
    <t>Other Equipment &amp; Systems (vessel)</t>
  </si>
  <si>
    <t>PB-61 detail</t>
  </si>
  <si>
    <t>PB-61 Depot Maintenance Summary — per-class detail from OMN Vol2</t>
  </si>
  <si>
    <t>OMN — Ship Maint (Bucket 2)</t>
  </si>
  <si>
    <t>Weapon System</t>
  </si>
  <si>
    <t>FY24 Total</t>
  </si>
  <si>
    <t>FY25 Funded</t>
  </si>
  <si>
    <t>FY25 Required</t>
  </si>
  <si>
    <t>FY25 %</t>
  </si>
  <si>
    <t>FY26 Funded</t>
  </si>
  <si>
    <t>FY26 Required</t>
  </si>
  <si>
    <t>FY26 %</t>
  </si>
  <si>
    <t>CV-CVN</t>
  </si>
  <si>
    <t>CV-CVN (SRB)</t>
  </si>
  <si>
    <t>DDG</t>
  </si>
  <si>
    <t>SSN-MTS-SSGN</t>
  </si>
  <si>
    <t>SSN-SSGN</t>
  </si>
  <si>
    <t>SSN</t>
  </si>
  <si>
    <t>SSBN</t>
  </si>
  <si>
    <t>SSGN</t>
  </si>
  <si>
    <t>AMPHIBS</t>
  </si>
  <si>
    <t>LHD</t>
  </si>
  <si>
    <t>CG</t>
  </si>
  <si>
    <t>ESB</t>
  </si>
  <si>
    <t>AGF-LCC</t>
  </si>
  <si>
    <t>MCM-MHC</t>
  </si>
  <si>
    <t>SOH</t>
  </si>
  <si>
    <t>ARDM-AS</t>
  </si>
  <si>
    <t>AS-ARDM</t>
  </si>
  <si>
    <t>OMN — Continuous Maintenance (Bucket 3)</t>
  </si>
  <si>
    <t>LCAC</t>
  </si>
  <si>
    <t>MINESWEEPERS</t>
  </si>
  <si>
    <t>Other</t>
  </si>
  <si>
    <t>OMN — Other Depot Maintenance</t>
  </si>
  <si>
    <t>AEGIS ASHORE</t>
  </si>
  <si>
    <t>OPN — Ship Depot Maintenance</t>
  </si>
  <si>
    <t>CV-CVN (continuous)</t>
  </si>
  <si>
    <t>SSN (continuous)</t>
  </si>
  <si>
    <t>SSN/SSGN Electronics</t>
  </si>
  <si>
    <t>SSBN/SSGN (continuous)</t>
  </si>
  <si>
    <t>Sources and methodology</t>
  </si>
  <si>
    <t>Data sources, confidence levels, methodology notes, and reconciliation checks</t>
  </si>
  <si>
    <t>Source Files</t>
  </si>
  <si>
    <t>SCN Justification Book (PB-27)</t>
  </si>
  <si>
    <t>Bucket 1 new construction line items and OBBA detail</t>
  </si>
  <si>
    <t>OMN Vol 2 (PB-61)</t>
  </si>
  <si>
    <t>Buckets 2-3 depot maintenance and continuous maintenance by weapon system</t>
  </si>
  <si>
    <t>OPN Justification Book (PB-28)</t>
  </si>
  <si>
    <t>Bucket 4 modernization equipment and Bucket 2 material support</t>
  </si>
  <si>
    <t>USCG Capital Investment Plan</t>
  </si>
  <si>
    <t>Coast Guard PC&amp;I acquisition and SLEP programs</t>
  </si>
  <si>
    <t>USCG O&amp;S Budget Justification</t>
  </si>
  <si>
    <t>Coast Guard operations and support allocated to vessel maintenance</t>
  </si>
  <si>
    <t>OPN BA8 Initial Spares</t>
  </si>
  <si>
    <t>Bucket 6 war reserve and initial spares (BLI 9020)</t>
  </si>
  <si>
    <t>NAVSEA HQ / SUPSHIP data</t>
  </si>
  <si>
    <t>Bucket 6 sustainment engineering and planning overhead</t>
  </si>
  <si>
    <t>Confidence Levels</t>
  </si>
  <si>
    <t>Direct budget line item with no estimation or allocation required</t>
  </si>
  <si>
    <t>Derived from budget data with minor analyst allocation (e.g., percentage split)</t>
  </si>
  <si>
    <t>Analyst estimate based on historical patterns, indirect evidence, or proxy data</t>
  </si>
  <si>
    <t>Key Methodology Notes</t>
  </si>
  <si>
    <t>1. All figures are in USD thousands ($K) unless otherwise noted.</t>
  </si>
  <si>
    <t>2. FY26 OBBA (Off-Budget Baseline Adjustment) reflects supplemental shipbuilding funding in the NDAA.</t>
  </si>
  <si>
    <t>3. Coast Guard O&amp;S is split 60/40 between Bucket 2 (depot) and Bucket 3 (continuous) based on analyst estimate.</t>
  </si>
  <si>
    <t>4. OPN lines with partial vessel share (e.g., 80%, 95%) reflect analyst allocation of ship-applicable portion.</t>
  </si>
  <si>
    <t>5. MSC M&amp;R ($1.584B) is a new FY26 transfer from Navy Working Capital Fund and was not in FY24-25 baselines.</t>
  </si>
  <si>
    <t>6. PY Completion (prior-year) is split between Bucket 1 (newbuild) and Bucket 5 (RCOH/SLEP) based on program detail.</t>
  </si>
  <si>
    <t>7. Residual NME rounding line in Bucket 2 is a balancing entry to match the SAG-level control total.</t>
  </si>
  <si>
    <t>8. Bucket 7 (Availability Support) captures port services, berthing, and facility support not included in depot events.</t>
  </si>
  <si>
    <t>Annotation Key</t>
  </si>
  <si>
    <t>Budget source does not break this data out by vessel class for this bucket</t>
  </si>
  <si>
    <t>— (dash)</t>
  </si>
  <si>
    <t>Genuine zero value; the number format renders 0 as a dash</t>
  </si>
  <si>
    <t>Blue text</t>
  </si>
  <si>
    <t>Hardcoded numeric input from budget documents</t>
  </si>
  <si>
    <t>Green text</t>
  </si>
  <si>
    <t>Cross-tab formula linking to another worksheet</t>
  </si>
  <si>
    <t>Gray text</t>
  </si>
  <si>
    <t>Source references, notes, or analyst annotations</t>
  </si>
  <si>
    <t>Reconciliation Checks</t>
  </si>
  <si>
    <t>Tab 1 Value</t>
  </si>
  <si>
    <t>Tab 2 Column Total</t>
  </si>
  <si>
    <t>Delta</t>
  </si>
  <si>
    <t>Status</t>
  </si>
  <si>
    <t>Bucket 1 (New Construction)</t>
  </si>
  <si>
    <t>Bucket 2 (Scheduled Depot Maint)</t>
  </si>
  <si>
    <t>Bucket 3 (Continuous/Intermediate)</t>
  </si>
  <si>
    <t>Bucket 4 (Modernization)</t>
  </si>
  <si>
    <t>Bucket 5 (Major Life-Cycle)</t>
  </si>
  <si>
    <t>Bucket 6 (Sustainment Eng)</t>
  </si>
  <si>
    <t>Bucket 7 (Availability Support)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</si>
</sst>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;&quot;-&quot;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i/>
      <sz val="8"/>
      <color rgb="FF808080"/>
      <name val="Arial"/>
      <family val="2"/>
    </font>
    <font>
      <sz val="8"/>
      <color rgb="FF80808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CC"/>
      <name val="Arial"/>
      <family val="2"/>
    </font>
    <font>
      <i/>
      <sz val="8"/>
      <color rgb="FF000000"/>
      <name val="Arial"/>
      <family val="2"/>
    </font>
    <font>
      <sz val="8"/>
      <color rgb="FF008000"/>
      <name val="Arial"/>
      <family val="2"/>
    </font>
    <font>
      <b/>
      <sz val="8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8F5E9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horizontal="right" vertical="center"/>
    </xf>
    <xf numFmtId="165" fontId="7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4" fillId="3" borderId="0" xfId="0" applyFont="1" applyFill="1"/>
    <xf numFmtId="0" fontId="4" fillId="3" borderId="0" xfId="0" applyFont="1" applyFill="1" applyAlignment="1">
      <alignment horizontal="left" vertical="center"/>
    </xf>
    <xf numFmtId="164" fontId="4" fillId="3" borderId="2" xfId="0" applyNumberFormat="1" applyFont="1" applyFill="1" applyBorder="1" applyAlignment="1">
      <alignment horizontal="right" vertical="center"/>
    </xf>
    <xf numFmtId="0" fontId="0" fillId="3" borderId="2" xfId="0" applyFill="1" applyBorder="1"/>
    <xf numFmtId="164" fontId="4" fillId="3" borderId="3" xfId="0" applyNumberFormat="1" applyFont="1" applyFill="1" applyBorder="1" applyAlignment="1">
      <alignment horizontal="right" vertical="center"/>
    </xf>
    <xf numFmtId="0" fontId="0" fillId="3" borderId="3" xfId="0" applyFill="1" applyBorder="1"/>
    <xf numFmtId="164" fontId="4" fillId="3" borderId="0" xfId="0" applyNumberFormat="1" applyFont="1" applyFill="1" applyAlignment="1">
      <alignment horizontal="right" vertical="center"/>
    </xf>
    <xf numFmtId="164" fontId="8" fillId="3" borderId="0" xfId="0" applyNumberFormat="1" applyFont="1" applyFill="1" applyAlignment="1">
      <alignment horizontal="right" vertical="center"/>
    </xf>
    <xf numFmtId="164" fontId="9" fillId="3" borderId="3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horizontal="center" vertical="center"/>
    </xf>
    <xf numFmtId="0" fontId="0" fillId="3" borderId="0" xfId="0" applyFill="1"/>
    <xf numFmtId="0" fontId="5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164" fontId="5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7A99"/>
  </sheetPr>
  <dimension ref="A1:I13"/>
  <sheetViews>
    <sheetView showGridLines="0" tabSelected="1" workbookViewId="0"/>
  </sheetViews>
  <sheetFormatPr baseColWidth="10" defaultColWidth="8.83203125" defaultRowHeight="15" x14ac:dyDescent="0.2"/>
  <cols>
    <col min="1" max="1" width="4" customWidth="1"/>
    <col min="2" max="2" width="34" customWidth="1"/>
    <col min="3" max="9" width="12" customWidth="1"/>
  </cols>
  <sheetData>
    <row r="1" spans="1:9" ht="10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0" customHeight="1" x14ac:dyDescent="0.2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0" customHeight="1" x14ac:dyDescent="0.2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ht="10" customHeight="1" x14ac:dyDescent="0.2">
      <c r="A4" s="4" t="s">
        <v>3</v>
      </c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</row>
    <row r="5" spans="1:9" ht="10" customHeight="1" x14ac:dyDescent="0.2">
      <c r="A5" s="6">
        <v>1</v>
      </c>
      <c r="B5" s="6" t="s">
        <v>12</v>
      </c>
      <c r="C5" s="7">
        <v>28427000</v>
      </c>
      <c r="D5" s="7">
        <v>38453000</v>
      </c>
      <c r="E5" s="7">
        <v>19822000</v>
      </c>
      <c r="F5" s="7">
        <v>26507000</v>
      </c>
      <c r="G5" s="7">
        <v>46326000</v>
      </c>
      <c r="H5" s="8">
        <f>G5/G13</f>
        <v>0.61822784054013513</v>
      </c>
      <c r="I5" s="9" t="s">
        <v>13</v>
      </c>
    </row>
    <row r="6" spans="1:9" ht="10" customHeight="1" x14ac:dyDescent="0.2">
      <c r="A6" s="6">
        <v>2</v>
      </c>
      <c r="B6" s="6" t="s">
        <v>14</v>
      </c>
      <c r="C6" s="7">
        <v>13271718</v>
      </c>
      <c r="D6" s="7">
        <v>12909097</v>
      </c>
      <c r="E6" s="7">
        <v>13617194</v>
      </c>
      <c r="F6" s="7">
        <v>0</v>
      </c>
      <c r="G6" s="7">
        <v>13617194</v>
      </c>
      <c r="H6" s="8">
        <f>G6/G13</f>
        <v>0.18172362044718054</v>
      </c>
      <c r="I6" s="8">
        <f>G6/G12</f>
        <v>0.47600019001984056</v>
      </c>
    </row>
    <row r="7" spans="1:9" ht="10" customHeight="1" x14ac:dyDescent="0.2">
      <c r="A7" s="6">
        <v>3</v>
      </c>
      <c r="B7" s="6" t="s">
        <v>15</v>
      </c>
      <c r="C7" s="7">
        <v>2083638</v>
      </c>
      <c r="D7" s="7">
        <v>2155459</v>
      </c>
      <c r="E7" s="7">
        <v>2234715</v>
      </c>
      <c r="F7" s="7">
        <v>0</v>
      </c>
      <c r="G7" s="7">
        <v>2234715</v>
      </c>
      <c r="H7" s="8">
        <f>G7/G13</f>
        <v>2.9822627221703757E-2</v>
      </c>
      <c r="I7" s="8">
        <f>G7/G12</f>
        <v>7.8116296546864791E-2</v>
      </c>
    </row>
    <row r="8" spans="1:9" ht="10" customHeight="1" x14ac:dyDescent="0.2">
      <c r="A8" s="6">
        <v>4</v>
      </c>
      <c r="B8" s="6" t="s">
        <v>16</v>
      </c>
      <c r="C8" s="7">
        <v>5505882</v>
      </c>
      <c r="D8" s="7">
        <v>5994559</v>
      </c>
      <c r="E8" s="7">
        <v>6624111</v>
      </c>
      <c r="F8" s="7">
        <v>0</v>
      </c>
      <c r="G8" s="7">
        <v>6624111</v>
      </c>
      <c r="H8" s="8">
        <f>G8/G13</f>
        <v>8.8399815201574819E-2</v>
      </c>
      <c r="I8" s="8">
        <f>G8/G12</f>
        <v>0.23155123549774764</v>
      </c>
    </row>
    <row r="9" spans="1:9" ht="10" customHeight="1" x14ac:dyDescent="0.2">
      <c r="A9" s="6">
        <v>5</v>
      </c>
      <c r="B9" s="6" t="s">
        <v>17</v>
      </c>
      <c r="C9" s="7">
        <v>210612</v>
      </c>
      <c r="D9" s="7">
        <v>1661363</v>
      </c>
      <c r="E9" s="7">
        <v>2492740</v>
      </c>
      <c r="F9" s="7">
        <v>0</v>
      </c>
      <c r="G9" s="7">
        <v>2492740</v>
      </c>
      <c r="H9" s="8">
        <f>G9/G13</f>
        <v>3.3266011898890828E-2</v>
      </c>
      <c r="I9" s="8">
        <f>G9/G12</f>
        <v>8.7135772147335006E-2</v>
      </c>
    </row>
    <row r="10" spans="1:9" ht="10" customHeight="1" x14ac:dyDescent="0.2">
      <c r="A10" s="6">
        <v>6</v>
      </c>
      <c r="B10" s="6" t="s">
        <v>18</v>
      </c>
      <c r="C10" s="7">
        <v>3192575</v>
      </c>
      <c r="D10" s="7">
        <v>3143211</v>
      </c>
      <c r="E10" s="7">
        <v>3411003</v>
      </c>
      <c r="F10" s="7">
        <v>0</v>
      </c>
      <c r="G10" s="7">
        <v>3411003</v>
      </c>
      <c r="H10" s="8">
        <f>G10/G13</f>
        <v>4.5520377730991726E-2</v>
      </c>
      <c r="I10" s="8">
        <f>G10/G12</f>
        <v>0.11923440880391704</v>
      </c>
    </row>
    <row r="11" spans="1:9" ht="10" customHeight="1" x14ac:dyDescent="0.2">
      <c r="A11" s="6">
        <v>7</v>
      </c>
      <c r="B11" s="6" t="s">
        <v>19</v>
      </c>
      <c r="C11" s="7">
        <v>254506</v>
      </c>
      <c r="D11" s="7">
        <v>226912</v>
      </c>
      <c r="E11" s="7">
        <v>227776</v>
      </c>
      <c r="F11" s="7">
        <v>0</v>
      </c>
      <c r="G11" s="7">
        <v>227776</v>
      </c>
      <c r="H11" s="8">
        <f>G11/G13</f>
        <v>3.0397069595231581E-3</v>
      </c>
      <c r="I11" s="8">
        <f>G11/G12</f>
        <v>7.9620969842949443E-3</v>
      </c>
    </row>
    <row r="12" spans="1:9" ht="10" customHeight="1" x14ac:dyDescent="0.2">
      <c r="A12" s="10"/>
      <c r="B12" s="11" t="s">
        <v>20</v>
      </c>
      <c r="C12" s="12">
        <f>SUM(C6:C11)</f>
        <v>24518931</v>
      </c>
      <c r="D12" s="12">
        <f>SUM(D6:D11)</f>
        <v>26090601</v>
      </c>
      <c r="E12" s="12">
        <f>SUM(E6:E11)</f>
        <v>28607539</v>
      </c>
      <c r="F12" s="12">
        <f>SUM(F6:F11)</f>
        <v>0</v>
      </c>
      <c r="G12" s="12">
        <f>SUM(G6:G11)</f>
        <v>28607539</v>
      </c>
      <c r="H12" s="13"/>
      <c r="I12" s="13"/>
    </row>
    <row r="13" spans="1:9" ht="10" customHeight="1" x14ac:dyDescent="0.2">
      <c r="A13" s="10"/>
      <c r="B13" s="11" t="s">
        <v>21</v>
      </c>
      <c r="C13" s="14">
        <f>SUM(C5:C11)</f>
        <v>52945931</v>
      </c>
      <c r="D13" s="14">
        <f>SUM(D5:D11)</f>
        <v>64543601</v>
      </c>
      <c r="E13" s="14">
        <f>SUM(E5:E11)</f>
        <v>48429539</v>
      </c>
      <c r="F13" s="14">
        <f>SUM(F5:F11)</f>
        <v>26507000</v>
      </c>
      <c r="G13" s="14">
        <f>SUM(G5:G11)</f>
        <v>74933539</v>
      </c>
      <c r="H13" s="15"/>
      <c r="I13" s="1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7A99"/>
  </sheetPr>
  <dimension ref="A1:K50"/>
  <sheetViews>
    <sheetView showGridLines="0" workbookViewId="0">
      <selection activeCell="F4" sqref="F4"/>
    </sheetView>
  </sheetViews>
  <sheetFormatPr baseColWidth="10" defaultColWidth="8.83203125" defaultRowHeight="15" x14ac:dyDescent="0.2"/>
  <cols>
    <col min="1" max="1" width="28" customWidth="1"/>
    <col min="2" max="11" width="12" customWidth="1"/>
  </cols>
  <sheetData>
    <row r="1" spans="1:11" ht="10" customHeight="1" x14ac:dyDescent="0.2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0" customHeight="1" x14ac:dyDescent="0.2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0" customHeight="1" x14ac:dyDescent="0.2">
      <c r="A3" s="3" t="s">
        <v>24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0" customHeight="1" x14ac:dyDescent="0.2">
      <c r="A4" s="4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33</v>
      </c>
      <c r="J4" s="5" t="s">
        <v>34</v>
      </c>
      <c r="K4" s="5" t="s">
        <v>35</v>
      </c>
    </row>
    <row r="5" spans="1:11" ht="10" customHeight="1" x14ac:dyDescent="0.2">
      <c r="A5" s="1" t="s">
        <v>36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0" customHeight="1" x14ac:dyDescent="0.2">
      <c r="A6" s="6" t="s">
        <v>37</v>
      </c>
      <c r="B6" s="7">
        <v>8994594</v>
      </c>
      <c r="C6" s="7">
        <v>1925892</v>
      </c>
      <c r="D6" s="7">
        <v>10920486</v>
      </c>
      <c r="E6" s="9" t="s">
        <v>38</v>
      </c>
      <c r="F6" s="9" t="s">
        <v>38</v>
      </c>
      <c r="G6" s="9" t="s">
        <v>38</v>
      </c>
      <c r="H6" s="9" t="s">
        <v>38</v>
      </c>
      <c r="I6" s="9" t="s">
        <v>38</v>
      </c>
      <c r="J6" s="9" t="s">
        <v>38</v>
      </c>
      <c r="K6" s="16">
        <f>SUM(D6:J6)</f>
        <v>10920486</v>
      </c>
    </row>
    <row r="7" spans="1:11" ht="10" customHeight="1" x14ac:dyDescent="0.2">
      <c r="A7" s="6" t="s">
        <v>39</v>
      </c>
      <c r="B7" s="7">
        <v>4760225</v>
      </c>
      <c r="C7" s="7">
        <v>6317804</v>
      </c>
      <c r="D7" s="7">
        <v>11078029</v>
      </c>
      <c r="E7" s="9" t="s">
        <v>38</v>
      </c>
      <c r="F7" s="9" t="s">
        <v>38</v>
      </c>
      <c r="G7" s="9" t="s">
        <v>38</v>
      </c>
      <c r="H7" s="9" t="s">
        <v>38</v>
      </c>
      <c r="I7" s="9" t="s">
        <v>38</v>
      </c>
      <c r="J7" s="9" t="s">
        <v>38</v>
      </c>
      <c r="K7" s="16">
        <f>SUM(D7:J7)</f>
        <v>11078029</v>
      </c>
    </row>
    <row r="8" spans="1:11" ht="10" customHeight="1" x14ac:dyDescent="0.2">
      <c r="A8" s="6" t="s">
        <v>40</v>
      </c>
      <c r="B8" s="7">
        <v>0</v>
      </c>
      <c r="C8" s="7">
        <v>0</v>
      </c>
      <c r="D8" s="7">
        <v>0</v>
      </c>
      <c r="E8" s="7">
        <v>1566819</v>
      </c>
      <c r="F8" s="9" t="s">
        <v>38</v>
      </c>
      <c r="G8" s="7">
        <v>766254</v>
      </c>
      <c r="H8" s="7">
        <v>0</v>
      </c>
      <c r="I8" s="7">
        <v>0</v>
      </c>
      <c r="J8" s="9" t="s">
        <v>38</v>
      </c>
      <c r="K8" s="16">
        <f>SUM(D8:J8)</f>
        <v>2333073</v>
      </c>
    </row>
    <row r="9" spans="1:11" ht="10" customHeight="1" x14ac:dyDescent="0.2">
      <c r="A9" s="1" t="s">
        <v>41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0" customHeight="1" x14ac:dyDescent="0.2">
      <c r="A10" s="6" t="s">
        <v>42</v>
      </c>
      <c r="B10" s="7">
        <v>3281673</v>
      </c>
      <c r="C10" s="7">
        <v>0</v>
      </c>
      <c r="D10" s="7">
        <v>3281673</v>
      </c>
      <c r="E10" s="7">
        <v>784000</v>
      </c>
      <c r="F10" s="9" t="s">
        <v>38</v>
      </c>
      <c r="G10" s="7">
        <v>0</v>
      </c>
      <c r="H10" s="7">
        <v>2274311</v>
      </c>
      <c r="I10" s="7">
        <v>86561</v>
      </c>
      <c r="J10" s="9" t="s">
        <v>38</v>
      </c>
      <c r="K10" s="16">
        <f t="shared" ref="K10:K15" si="0">SUM(D10:J10)</f>
        <v>6426545</v>
      </c>
    </row>
    <row r="11" spans="1:11" ht="10" customHeight="1" x14ac:dyDescent="0.2">
      <c r="A11" s="6" t="s">
        <v>43</v>
      </c>
      <c r="B11" s="7">
        <v>10773</v>
      </c>
      <c r="C11" s="7">
        <v>5400000</v>
      </c>
      <c r="D11" s="7">
        <v>5410773</v>
      </c>
      <c r="E11" s="7">
        <v>749000</v>
      </c>
      <c r="F11" s="9" t="s">
        <v>38</v>
      </c>
      <c r="G11" s="7">
        <v>997485</v>
      </c>
      <c r="H11" s="7">
        <v>0</v>
      </c>
      <c r="I11" s="7">
        <v>0</v>
      </c>
      <c r="J11" s="9" t="s">
        <v>38</v>
      </c>
      <c r="K11" s="16">
        <f t="shared" si="0"/>
        <v>7157258</v>
      </c>
    </row>
    <row r="12" spans="1:11" ht="10" customHeight="1" x14ac:dyDescent="0.2">
      <c r="A12" s="6" t="s">
        <v>44</v>
      </c>
      <c r="B12" s="7">
        <v>52358</v>
      </c>
      <c r="C12" s="7">
        <v>0</v>
      </c>
      <c r="D12" s="7">
        <v>52358</v>
      </c>
      <c r="E12" s="7">
        <v>0</v>
      </c>
      <c r="F12" s="9" t="s">
        <v>38</v>
      </c>
      <c r="G12" s="7">
        <v>115267</v>
      </c>
      <c r="H12" s="7">
        <v>0</v>
      </c>
      <c r="I12" s="7">
        <v>209225</v>
      </c>
      <c r="J12" s="9" t="s">
        <v>38</v>
      </c>
      <c r="K12" s="16">
        <f t="shared" si="0"/>
        <v>376850</v>
      </c>
    </row>
    <row r="13" spans="1:11" ht="10" customHeight="1" x14ac:dyDescent="0.2">
      <c r="A13" s="6" t="s">
        <v>45</v>
      </c>
      <c r="B13" s="7">
        <v>0</v>
      </c>
      <c r="C13" s="7">
        <v>0</v>
      </c>
      <c r="D13" s="7">
        <v>0</v>
      </c>
      <c r="E13" s="7">
        <v>0</v>
      </c>
      <c r="F13" s="9" t="s">
        <v>38</v>
      </c>
      <c r="G13" s="7">
        <v>0</v>
      </c>
      <c r="H13" s="7">
        <v>0</v>
      </c>
      <c r="I13" s="7">
        <v>0</v>
      </c>
      <c r="J13" s="9" t="s">
        <v>38</v>
      </c>
      <c r="K13" s="16">
        <f t="shared" si="0"/>
        <v>0</v>
      </c>
    </row>
    <row r="14" spans="1:11" ht="10" customHeight="1" x14ac:dyDescent="0.2">
      <c r="A14" s="6" t="s">
        <v>46</v>
      </c>
      <c r="B14" s="7">
        <v>0</v>
      </c>
      <c r="C14" s="7">
        <v>0</v>
      </c>
      <c r="D14" s="7">
        <v>0</v>
      </c>
      <c r="E14" s="7">
        <v>0</v>
      </c>
      <c r="F14" s="9" t="s">
        <v>38</v>
      </c>
      <c r="G14" s="7">
        <v>0</v>
      </c>
      <c r="H14" s="7">
        <v>0</v>
      </c>
      <c r="I14" s="7">
        <v>0</v>
      </c>
      <c r="J14" s="9" t="s">
        <v>38</v>
      </c>
      <c r="K14" s="16">
        <f t="shared" si="0"/>
        <v>0</v>
      </c>
    </row>
    <row r="15" spans="1:11" ht="10" customHeight="1" x14ac:dyDescent="0.2">
      <c r="A15" s="6" t="s">
        <v>47</v>
      </c>
      <c r="B15" s="7">
        <v>0</v>
      </c>
      <c r="C15" s="7">
        <v>0</v>
      </c>
      <c r="D15" s="7">
        <v>0</v>
      </c>
      <c r="E15" s="7">
        <v>492493</v>
      </c>
      <c r="F15" s="9" t="s">
        <v>38</v>
      </c>
      <c r="G15" s="7">
        <v>374321</v>
      </c>
      <c r="H15" s="7">
        <v>0</v>
      </c>
      <c r="I15" s="7">
        <v>0</v>
      </c>
      <c r="J15" s="9" t="s">
        <v>38</v>
      </c>
      <c r="K15" s="16">
        <f t="shared" si="0"/>
        <v>866814</v>
      </c>
    </row>
    <row r="16" spans="1:11" ht="10" customHeight="1" x14ac:dyDescent="0.2">
      <c r="A16" s="1" t="s">
        <v>48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0" customHeight="1" x14ac:dyDescent="0.2">
      <c r="A17" s="6" t="s">
        <v>49</v>
      </c>
      <c r="B17" s="7">
        <v>0</v>
      </c>
      <c r="C17" s="7">
        <v>0</v>
      </c>
      <c r="D17" s="7">
        <v>0</v>
      </c>
      <c r="E17" s="7">
        <v>624506</v>
      </c>
      <c r="F17" s="9" t="s">
        <v>38</v>
      </c>
      <c r="G17" s="7">
        <v>0</v>
      </c>
      <c r="H17" s="7">
        <v>0</v>
      </c>
      <c r="I17" s="7">
        <v>0</v>
      </c>
      <c r="J17" s="9" t="s">
        <v>38</v>
      </c>
      <c r="K17" s="16">
        <f>SUM(D17:J17)</f>
        <v>624506</v>
      </c>
    </row>
    <row r="18" spans="1:11" ht="10" customHeight="1" x14ac:dyDescent="0.2">
      <c r="A18" s="6" t="s">
        <v>50</v>
      </c>
      <c r="B18" s="7">
        <v>0</v>
      </c>
      <c r="C18" s="7">
        <v>2600000</v>
      </c>
      <c r="D18" s="7">
        <v>2600000</v>
      </c>
      <c r="E18" s="9" t="s">
        <v>38</v>
      </c>
      <c r="F18" s="9" t="s">
        <v>38</v>
      </c>
      <c r="G18" s="7">
        <v>125542</v>
      </c>
      <c r="H18" s="7">
        <v>0</v>
      </c>
      <c r="I18" s="7">
        <v>0</v>
      </c>
      <c r="J18" s="9" t="s">
        <v>38</v>
      </c>
      <c r="K18" s="16">
        <f>SUM(D18:J18)</f>
        <v>2725542</v>
      </c>
    </row>
    <row r="19" spans="1:11" ht="10" customHeight="1" x14ac:dyDescent="0.2">
      <c r="A19" s="6" t="s">
        <v>51</v>
      </c>
      <c r="B19" s="7">
        <v>0</v>
      </c>
      <c r="C19" s="7">
        <v>3895000</v>
      </c>
      <c r="D19" s="7">
        <v>3895000</v>
      </c>
      <c r="E19" s="9" t="s">
        <v>38</v>
      </c>
      <c r="F19" s="9" t="s">
        <v>38</v>
      </c>
      <c r="G19" s="7">
        <v>123384</v>
      </c>
      <c r="H19" s="7">
        <v>0</v>
      </c>
      <c r="I19" s="7">
        <v>0</v>
      </c>
      <c r="J19" s="9" t="s">
        <v>38</v>
      </c>
      <c r="K19" s="16">
        <f>SUM(D19:J19)</f>
        <v>4018384</v>
      </c>
    </row>
    <row r="20" spans="1:11" ht="10" customHeight="1" x14ac:dyDescent="0.2">
      <c r="A20" s="6" t="s">
        <v>52</v>
      </c>
      <c r="B20" s="7">
        <v>0</v>
      </c>
      <c r="C20" s="7">
        <v>0</v>
      </c>
      <c r="D20" s="7">
        <v>0</v>
      </c>
      <c r="E20" s="9" t="s">
        <v>38</v>
      </c>
      <c r="F20" s="9" t="s">
        <v>38</v>
      </c>
      <c r="G20" s="7">
        <v>4079</v>
      </c>
      <c r="H20" s="7">
        <v>0</v>
      </c>
      <c r="I20" s="7">
        <v>0</v>
      </c>
      <c r="J20" s="9" t="s">
        <v>38</v>
      </c>
      <c r="K20" s="16">
        <f>SUM(D20:J20)</f>
        <v>4079</v>
      </c>
    </row>
    <row r="21" spans="1:11" ht="10" customHeight="1" x14ac:dyDescent="0.2">
      <c r="A21" s="6" t="s">
        <v>53</v>
      </c>
      <c r="B21" s="7">
        <v>0</v>
      </c>
      <c r="C21" s="7">
        <v>1963941</v>
      </c>
      <c r="D21" s="7">
        <v>1963941</v>
      </c>
      <c r="E21" s="7">
        <v>0</v>
      </c>
      <c r="F21" s="9" t="s">
        <v>38</v>
      </c>
      <c r="G21" s="7">
        <v>0</v>
      </c>
      <c r="H21" s="7">
        <v>0</v>
      </c>
      <c r="I21" s="7">
        <v>0</v>
      </c>
      <c r="J21" s="9" t="s">
        <v>38</v>
      </c>
      <c r="K21" s="16">
        <f>SUM(D21:J21)</f>
        <v>1963941</v>
      </c>
    </row>
    <row r="22" spans="1:11" ht="10" customHeight="1" x14ac:dyDescent="0.2">
      <c r="A22" s="1" t="s">
        <v>54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0" customHeight="1" x14ac:dyDescent="0.2">
      <c r="A23" s="6" t="s">
        <v>55</v>
      </c>
      <c r="B23" s="7">
        <v>8346</v>
      </c>
      <c r="C23" s="7">
        <v>1853359</v>
      </c>
      <c r="D23" s="7">
        <v>1861705</v>
      </c>
      <c r="E23" s="7">
        <v>0</v>
      </c>
      <c r="F23" s="9" t="s">
        <v>38</v>
      </c>
      <c r="G23" s="7">
        <v>0</v>
      </c>
      <c r="H23" s="7">
        <v>0</v>
      </c>
      <c r="I23" s="7">
        <v>0</v>
      </c>
      <c r="J23" s="9" t="s">
        <v>38</v>
      </c>
      <c r="K23" s="16">
        <f t="shared" ref="K23:K31" si="1">SUM(D23:J23)</f>
        <v>1861705</v>
      </c>
    </row>
    <row r="24" spans="1:11" ht="10" customHeight="1" x14ac:dyDescent="0.2">
      <c r="A24" s="6" t="s">
        <v>56</v>
      </c>
      <c r="B24" s="7">
        <v>612205</v>
      </c>
      <c r="C24" s="7">
        <v>0</v>
      </c>
      <c r="D24" s="7">
        <v>612205</v>
      </c>
      <c r="E24" s="7">
        <v>0</v>
      </c>
      <c r="F24" s="9" t="s">
        <v>38</v>
      </c>
      <c r="G24" s="7">
        <v>0</v>
      </c>
      <c r="H24" s="7">
        <v>0</v>
      </c>
      <c r="I24" s="7">
        <v>0</v>
      </c>
      <c r="J24" s="9" t="s">
        <v>38</v>
      </c>
      <c r="K24" s="16">
        <f t="shared" si="1"/>
        <v>612205</v>
      </c>
    </row>
    <row r="25" spans="1:11" ht="10" customHeight="1" x14ac:dyDescent="0.2">
      <c r="A25" s="6" t="s">
        <v>57</v>
      </c>
      <c r="B25" s="7">
        <v>0</v>
      </c>
      <c r="C25" s="7">
        <v>239095</v>
      </c>
      <c r="D25" s="7">
        <v>239095</v>
      </c>
      <c r="E25" s="7">
        <v>0</v>
      </c>
      <c r="F25" s="9" t="s">
        <v>38</v>
      </c>
      <c r="G25" s="7">
        <v>20321</v>
      </c>
      <c r="H25" s="7">
        <v>37883</v>
      </c>
      <c r="I25" s="7">
        <v>0</v>
      </c>
      <c r="J25" s="9" t="s">
        <v>38</v>
      </c>
      <c r="K25" s="16">
        <f t="shared" si="1"/>
        <v>297299</v>
      </c>
    </row>
    <row r="26" spans="1:11" ht="10" customHeight="1" x14ac:dyDescent="0.2">
      <c r="A26" s="6" t="s">
        <v>58</v>
      </c>
      <c r="B26" s="7">
        <v>0</v>
      </c>
      <c r="C26" s="7">
        <v>295000</v>
      </c>
      <c r="D26" s="7">
        <v>295000</v>
      </c>
      <c r="E26" s="7">
        <v>0</v>
      </c>
      <c r="F26" s="9" t="s">
        <v>38</v>
      </c>
      <c r="G26" s="7">
        <v>0</v>
      </c>
      <c r="H26" s="7">
        <v>0</v>
      </c>
      <c r="I26" s="7">
        <v>0</v>
      </c>
      <c r="J26" s="9" t="s">
        <v>38</v>
      </c>
      <c r="K26" s="16">
        <f t="shared" si="1"/>
        <v>295000</v>
      </c>
    </row>
    <row r="27" spans="1:11" ht="10" customHeight="1" x14ac:dyDescent="0.2">
      <c r="A27" s="6" t="s">
        <v>59</v>
      </c>
      <c r="B27" s="7">
        <v>45000</v>
      </c>
      <c r="C27" s="7">
        <v>700000</v>
      </c>
      <c r="D27" s="7">
        <v>745000</v>
      </c>
      <c r="E27" s="7">
        <v>0</v>
      </c>
      <c r="F27" s="9" t="s">
        <v>38</v>
      </c>
      <c r="G27" s="7">
        <v>0</v>
      </c>
      <c r="H27" s="7">
        <v>0</v>
      </c>
      <c r="I27" s="7">
        <v>0</v>
      </c>
      <c r="J27" s="9" t="s">
        <v>38</v>
      </c>
      <c r="K27" s="16">
        <f t="shared" si="1"/>
        <v>745000</v>
      </c>
    </row>
    <row r="28" spans="1:11" ht="10" customHeight="1" x14ac:dyDescent="0.2">
      <c r="A28" s="6" t="s">
        <v>60</v>
      </c>
      <c r="B28" s="7">
        <v>0</v>
      </c>
      <c r="C28" s="7">
        <v>0</v>
      </c>
      <c r="D28" s="7">
        <v>0</v>
      </c>
      <c r="E28" s="7">
        <v>0</v>
      </c>
      <c r="F28" s="9" t="s">
        <v>38</v>
      </c>
      <c r="G28" s="7">
        <v>0</v>
      </c>
      <c r="H28" s="7">
        <v>19276</v>
      </c>
      <c r="I28" s="7">
        <v>0</v>
      </c>
      <c r="J28" s="9" t="s">
        <v>38</v>
      </c>
      <c r="K28" s="16">
        <f t="shared" si="1"/>
        <v>19276</v>
      </c>
    </row>
    <row r="29" spans="1:11" ht="10" customHeight="1" x14ac:dyDescent="0.2">
      <c r="A29" s="6" t="s">
        <v>61</v>
      </c>
      <c r="B29" s="7">
        <v>0</v>
      </c>
      <c r="C29" s="7">
        <v>0</v>
      </c>
      <c r="D29" s="7">
        <v>0</v>
      </c>
      <c r="E29" s="7">
        <v>0</v>
      </c>
      <c r="F29" s="9" t="s">
        <v>38</v>
      </c>
      <c r="G29" s="7">
        <v>0</v>
      </c>
      <c r="H29" s="7">
        <v>0</v>
      </c>
      <c r="I29" s="7">
        <v>0</v>
      </c>
      <c r="J29" s="9" t="s">
        <v>38</v>
      </c>
      <c r="K29" s="16">
        <f t="shared" si="1"/>
        <v>0</v>
      </c>
    </row>
    <row r="30" spans="1:11" ht="10" customHeight="1" x14ac:dyDescent="0.2">
      <c r="A30" s="6" t="s">
        <v>62</v>
      </c>
      <c r="B30" s="7">
        <v>0</v>
      </c>
      <c r="C30" s="7">
        <v>0</v>
      </c>
      <c r="D30" s="7">
        <v>0</v>
      </c>
      <c r="E30" s="7">
        <v>1584000</v>
      </c>
      <c r="F30" s="9" t="s">
        <v>38</v>
      </c>
      <c r="G30" s="7">
        <v>0</v>
      </c>
      <c r="H30" s="7">
        <v>0</v>
      </c>
      <c r="I30" s="7">
        <v>0</v>
      </c>
      <c r="J30" s="9" t="s">
        <v>38</v>
      </c>
      <c r="K30" s="16">
        <f t="shared" si="1"/>
        <v>1584000</v>
      </c>
    </row>
    <row r="31" spans="1:11" ht="10" customHeight="1" x14ac:dyDescent="0.2">
      <c r="A31" s="6" t="s">
        <v>63</v>
      </c>
      <c r="B31" s="7">
        <v>34602</v>
      </c>
      <c r="C31" s="7">
        <v>0</v>
      </c>
      <c r="D31" s="7">
        <v>34602</v>
      </c>
      <c r="E31" s="7">
        <v>0</v>
      </c>
      <c r="F31" s="9" t="s">
        <v>38</v>
      </c>
      <c r="G31" s="7">
        <v>0</v>
      </c>
      <c r="H31" s="7">
        <v>0</v>
      </c>
      <c r="I31" s="7">
        <v>0</v>
      </c>
      <c r="J31" s="9" t="s">
        <v>38</v>
      </c>
      <c r="K31" s="16">
        <f t="shared" si="1"/>
        <v>34602</v>
      </c>
    </row>
    <row r="32" spans="1:11" ht="10" customHeight="1" x14ac:dyDescent="0.2">
      <c r="A32" s="1" t="s">
        <v>64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0" customHeight="1" x14ac:dyDescent="0.2">
      <c r="A33" s="6" t="s">
        <v>65</v>
      </c>
      <c r="B33" s="7">
        <v>812400</v>
      </c>
      <c r="C33" s="7">
        <v>0</v>
      </c>
      <c r="D33" s="7">
        <v>812400</v>
      </c>
      <c r="E33" s="7">
        <v>0</v>
      </c>
      <c r="F33" s="9" t="s">
        <v>38</v>
      </c>
      <c r="G33" s="7">
        <v>0</v>
      </c>
      <c r="H33" s="7">
        <v>0</v>
      </c>
      <c r="I33" s="7">
        <v>0</v>
      </c>
      <c r="J33" s="9" t="s">
        <v>38</v>
      </c>
      <c r="K33" s="16">
        <f t="shared" ref="K33:K40" si="2">SUM(D33:J33)</f>
        <v>812400</v>
      </c>
    </row>
    <row r="34" spans="1:11" ht="10" customHeight="1" x14ac:dyDescent="0.2">
      <c r="A34" s="6" t="s">
        <v>66</v>
      </c>
      <c r="B34" s="7">
        <v>216000</v>
      </c>
      <c r="C34" s="7">
        <v>0</v>
      </c>
      <c r="D34" s="7">
        <v>216000</v>
      </c>
      <c r="E34" s="7">
        <v>0</v>
      </c>
      <c r="F34" s="9" t="s">
        <v>38</v>
      </c>
      <c r="G34" s="7">
        <v>0</v>
      </c>
      <c r="H34" s="7">
        <v>0</v>
      </c>
      <c r="I34" s="7">
        <v>0</v>
      </c>
      <c r="J34" s="9" t="s">
        <v>38</v>
      </c>
      <c r="K34" s="16">
        <f t="shared" si="2"/>
        <v>216000</v>
      </c>
    </row>
    <row r="35" spans="1:11" ht="10" customHeight="1" x14ac:dyDescent="0.2">
      <c r="A35" s="6" t="s">
        <v>67</v>
      </c>
      <c r="B35" s="7">
        <v>228000</v>
      </c>
      <c r="C35" s="7">
        <v>0</v>
      </c>
      <c r="D35" s="7">
        <v>228000</v>
      </c>
      <c r="E35" s="7">
        <v>0</v>
      </c>
      <c r="F35" s="9" t="s">
        <v>38</v>
      </c>
      <c r="G35" s="7">
        <v>0</v>
      </c>
      <c r="H35" s="7">
        <v>0</v>
      </c>
      <c r="I35" s="7">
        <v>0</v>
      </c>
      <c r="J35" s="9" t="s">
        <v>38</v>
      </c>
      <c r="K35" s="16">
        <f t="shared" si="2"/>
        <v>228000</v>
      </c>
    </row>
    <row r="36" spans="1:11" ht="10" customHeight="1" x14ac:dyDescent="0.2">
      <c r="A36" s="6" t="s">
        <v>68</v>
      </c>
      <c r="B36" s="7">
        <v>0</v>
      </c>
      <c r="C36" s="7">
        <v>0</v>
      </c>
      <c r="D36" s="7">
        <v>0</v>
      </c>
      <c r="E36" s="9" t="s">
        <v>38</v>
      </c>
      <c r="F36" s="9" t="s">
        <v>38</v>
      </c>
      <c r="G36" s="7">
        <v>0</v>
      </c>
      <c r="H36" s="7">
        <v>76000</v>
      </c>
      <c r="I36" s="7">
        <v>0</v>
      </c>
      <c r="J36" s="9" t="s">
        <v>38</v>
      </c>
      <c r="K36" s="16">
        <f t="shared" si="2"/>
        <v>76000</v>
      </c>
    </row>
    <row r="37" spans="1:11" ht="10" customHeight="1" x14ac:dyDescent="0.2">
      <c r="A37" s="6" t="s">
        <v>69</v>
      </c>
      <c r="B37" s="7">
        <v>0</v>
      </c>
      <c r="C37" s="7">
        <v>0</v>
      </c>
      <c r="D37" s="7">
        <v>0</v>
      </c>
      <c r="E37" s="9" t="s">
        <v>38</v>
      </c>
      <c r="F37" s="9" t="s">
        <v>38</v>
      </c>
      <c r="G37" s="7">
        <v>0</v>
      </c>
      <c r="H37" s="7">
        <v>15000</v>
      </c>
      <c r="I37" s="7">
        <v>0</v>
      </c>
      <c r="J37" s="9" t="s">
        <v>38</v>
      </c>
      <c r="K37" s="16">
        <f t="shared" si="2"/>
        <v>15000</v>
      </c>
    </row>
    <row r="38" spans="1:11" ht="10" customHeight="1" x14ac:dyDescent="0.2">
      <c r="A38" s="6" t="s">
        <v>70</v>
      </c>
      <c r="B38" s="7">
        <v>0</v>
      </c>
      <c r="C38" s="7">
        <v>0</v>
      </c>
      <c r="D38" s="7">
        <v>0</v>
      </c>
      <c r="E38" s="9" t="s">
        <v>38</v>
      </c>
      <c r="F38" s="9" t="s">
        <v>38</v>
      </c>
      <c r="G38" s="7">
        <v>0</v>
      </c>
      <c r="H38" s="7">
        <v>45000</v>
      </c>
      <c r="I38" s="7">
        <v>0</v>
      </c>
      <c r="J38" s="9" t="s">
        <v>38</v>
      </c>
      <c r="K38" s="16">
        <f t="shared" si="2"/>
        <v>45000</v>
      </c>
    </row>
    <row r="39" spans="1:11" ht="10" customHeight="1" x14ac:dyDescent="0.2">
      <c r="A39" s="6" t="s">
        <v>71</v>
      </c>
      <c r="B39" s="7">
        <v>0</v>
      </c>
      <c r="C39" s="7">
        <v>0</v>
      </c>
      <c r="D39" s="7">
        <v>0</v>
      </c>
      <c r="E39" s="9" t="s">
        <v>38</v>
      </c>
      <c r="F39" s="9" t="s">
        <v>38</v>
      </c>
      <c r="G39" s="7">
        <v>0</v>
      </c>
      <c r="H39" s="7">
        <v>16000</v>
      </c>
      <c r="I39" s="7">
        <v>0</v>
      </c>
      <c r="J39" s="9" t="s">
        <v>38</v>
      </c>
      <c r="K39" s="16">
        <f t="shared" si="2"/>
        <v>16000</v>
      </c>
    </row>
    <row r="40" spans="1:11" ht="10" customHeight="1" x14ac:dyDescent="0.2">
      <c r="A40" s="6" t="s">
        <v>72</v>
      </c>
      <c r="B40" s="7">
        <v>0</v>
      </c>
      <c r="C40" s="7">
        <v>0</v>
      </c>
      <c r="D40" s="7">
        <v>0</v>
      </c>
      <c r="E40" s="9" t="s">
        <v>38</v>
      </c>
      <c r="F40" s="9" t="s">
        <v>38</v>
      </c>
      <c r="G40" s="7">
        <v>0</v>
      </c>
      <c r="H40" s="7">
        <v>9270</v>
      </c>
      <c r="I40" s="7">
        <v>0</v>
      </c>
      <c r="J40" s="9" t="s">
        <v>38</v>
      </c>
      <c r="K40" s="16">
        <f t="shared" si="2"/>
        <v>9270</v>
      </c>
    </row>
    <row r="41" spans="1:11" ht="10" customHeight="1" x14ac:dyDescent="0.2">
      <c r="A41" s="1" t="s">
        <v>73</v>
      </c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0" customHeight="1" x14ac:dyDescent="0.2">
      <c r="A42" s="6" t="s">
        <v>74</v>
      </c>
      <c r="B42" s="7">
        <v>863846</v>
      </c>
      <c r="C42" s="7">
        <v>23449</v>
      </c>
      <c r="D42" s="7">
        <v>887295</v>
      </c>
      <c r="E42" s="7">
        <v>0</v>
      </c>
      <c r="F42" s="9" t="s">
        <v>38</v>
      </c>
      <c r="G42" s="7">
        <v>0</v>
      </c>
      <c r="H42" s="7">
        <v>0</v>
      </c>
      <c r="I42" s="7">
        <v>0</v>
      </c>
      <c r="J42" s="9" t="s">
        <v>38</v>
      </c>
      <c r="K42" s="16">
        <f>SUM(D42:J42)</f>
        <v>887295</v>
      </c>
    </row>
    <row r="43" spans="1:11" ht="10" customHeight="1" x14ac:dyDescent="0.2">
      <c r="A43" s="6" t="s">
        <v>75</v>
      </c>
      <c r="B43" s="7">
        <v>725429</v>
      </c>
      <c r="C43" s="7">
        <v>466837</v>
      </c>
      <c r="D43" s="7">
        <v>1192266</v>
      </c>
      <c r="E43" s="7">
        <v>0</v>
      </c>
      <c r="F43" s="9" t="s">
        <v>38</v>
      </c>
      <c r="G43" s="7">
        <v>0</v>
      </c>
      <c r="H43" s="7">
        <v>0</v>
      </c>
      <c r="I43" s="7">
        <v>0</v>
      </c>
      <c r="J43" s="9" t="s">
        <v>38</v>
      </c>
      <c r="K43" s="16">
        <f>SUM(D43:J43)</f>
        <v>1192266</v>
      </c>
    </row>
    <row r="44" spans="1:11" ht="10" customHeight="1" x14ac:dyDescent="0.2">
      <c r="A44" s="1" t="s">
        <v>76</v>
      </c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0" customHeight="1" x14ac:dyDescent="0.2">
      <c r="A45" s="6" t="s">
        <v>77</v>
      </c>
      <c r="B45" s="7">
        <v>0</v>
      </c>
      <c r="C45" s="7">
        <v>0</v>
      </c>
      <c r="D45" s="7">
        <v>0</v>
      </c>
      <c r="E45" s="7">
        <v>369358</v>
      </c>
      <c r="F45" s="7">
        <v>246238</v>
      </c>
      <c r="G45" s="7">
        <v>52900</v>
      </c>
      <c r="H45" s="7">
        <v>0</v>
      </c>
      <c r="I45" s="7">
        <v>16000</v>
      </c>
      <c r="J45" s="9" t="s">
        <v>38</v>
      </c>
      <c r="K45" s="16">
        <f>SUM(D45:J45)</f>
        <v>684496</v>
      </c>
    </row>
    <row r="46" spans="1:11" ht="10" customHeight="1" x14ac:dyDescent="0.2">
      <c r="A46" s="11" t="s">
        <v>78</v>
      </c>
      <c r="B46" s="12">
        <f t="shared" ref="B46:K46" si="3">B6+B7+B8+B10+B11+B12+B13+B14+B15+B17+B18+B19+B20+B21+B23+B24+B25+B26+B27+B28+B29+B30+B31+B33+B34+B35+B36+B37+B38+B39+B40+B42+B43+B45</f>
        <v>20645451</v>
      </c>
      <c r="C46" s="12">
        <f t="shared" si="3"/>
        <v>25680377</v>
      </c>
      <c r="D46" s="12">
        <f t="shared" si="3"/>
        <v>46325828</v>
      </c>
      <c r="E46" s="12" t="e">
        <f t="shared" si="3"/>
        <v>#VALUE!</v>
      </c>
      <c r="F46" s="12" t="e">
        <f t="shared" si="3"/>
        <v>#VALUE!</v>
      </c>
      <c r="G46" s="12" t="e">
        <f t="shared" si="3"/>
        <v>#VALUE!</v>
      </c>
      <c r="H46" s="12" t="e">
        <f t="shared" si="3"/>
        <v>#VALUE!</v>
      </c>
      <c r="I46" s="12" t="e">
        <f t="shared" si="3"/>
        <v>#VALUE!</v>
      </c>
      <c r="J46" s="12" t="e">
        <f t="shared" si="3"/>
        <v>#VALUE!</v>
      </c>
      <c r="K46" s="12">
        <f t="shared" si="3"/>
        <v>58126321</v>
      </c>
    </row>
    <row r="47" spans="1:11" ht="10" customHeight="1" x14ac:dyDescent="0.2">
      <c r="A47" s="6" t="s">
        <v>79</v>
      </c>
      <c r="B47" s="17">
        <f>'TAM summary'!E5-B46</f>
        <v>-823451</v>
      </c>
      <c r="C47" s="17">
        <f>'TAM summary'!F5-C46</f>
        <v>826623</v>
      </c>
      <c r="D47" s="17">
        <f>'TAM summary'!G5-D46</f>
        <v>172</v>
      </c>
      <c r="E47" s="17" t="e">
        <f>'TAM summary'!G6-E46</f>
        <v>#VALUE!</v>
      </c>
      <c r="F47" s="17" t="e">
        <f>'TAM summary'!G7-F46</f>
        <v>#VALUE!</v>
      </c>
      <c r="G47" s="17" t="e">
        <f>'TAM summary'!G8-G46</f>
        <v>#VALUE!</v>
      </c>
      <c r="H47" s="17" t="e">
        <f>'TAM summary'!G9-H46</f>
        <v>#VALUE!</v>
      </c>
      <c r="I47" s="17" t="e">
        <f>'TAM summary'!G10-I46</f>
        <v>#VALUE!</v>
      </c>
      <c r="J47" s="17" t="e">
        <f>'TAM summary'!G11-J46</f>
        <v>#VALUE!</v>
      </c>
      <c r="K47" s="17" t="e">
        <f>SUM(D47:J47)</f>
        <v>#VALUE!</v>
      </c>
    </row>
    <row r="48" spans="1:11" ht="10" customHeight="1" x14ac:dyDescent="0.2">
      <c r="A48" s="11" t="s">
        <v>80</v>
      </c>
      <c r="B48" s="18">
        <f>'TAM summary'!E5</f>
        <v>19822000</v>
      </c>
      <c r="C48" s="18">
        <f>'TAM summary'!F5</f>
        <v>26507000</v>
      </c>
      <c r="D48" s="18">
        <f>'TAM summary'!G5</f>
        <v>46326000</v>
      </c>
      <c r="E48" s="18">
        <f>'TAM summary'!G6</f>
        <v>13617194</v>
      </c>
      <c r="F48" s="18">
        <f>'TAM summary'!G7</f>
        <v>2234715</v>
      </c>
      <c r="G48" s="18">
        <f>'TAM summary'!G8</f>
        <v>6624111</v>
      </c>
      <c r="H48" s="18">
        <f>'TAM summary'!G9</f>
        <v>2492740</v>
      </c>
      <c r="I48" s="18">
        <f>'TAM summary'!G10</f>
        <v>3411003</v>
      </c>
      <c r="J48" s="18">
        <f>'TAM summary'!G11</f>
        <v>227776</v>
      </c>
      <c r="K48" s="14">
        <f>SUM(D48:J48)</f>
        <v>74933539</v>
      </c>
    </row>
    <row r="49" spans="1:11" ht="10" customHeight="1" x14ac:dyDescent="0.2">
      <c r="A49" s="11" t="s">
        <v>81</v>
      </c>
      <c r="B49" s="19" t="str">
        <f>IF(ABS(B48-'TAM summary'!E5)&lt;1,"PASS","FAIL")</f>
        <v>PASS</v>
      </c>
      <c r="C49" s="19" t="str">
        <f>IF(ABS(C48-'TAM summary'!F5)&lt;1,"PASS","FAIL")</f>
        <v>PASS</v>
      </c>
      <c r="D49" s="19" t="str">
        <f>IF(ABS(D48-'TAM summary'!G5)&lt;1,"PASS","FAIL")</f>
        <v>PASS</v>
      </c>
      <c r="E49" s="19" t="str">
        <f>IF(ABS(E48-'TAM summary'!G6)&lt;1,"PASS","FAIL")</f>
        <v>PASS</v>
      </c>
      <c r="F49" s="19" t="str">
        <f>IF(ABS(F48-'TAM summary'!G7)&lt;1,"PASS","FAIL")</f>
        <v>PASS</v>
      </c>
      <c r="G49" s="19" t="str">
        <f>IF(ABS(G48-'TAM summary'!G8)&lt;1,"PASS","FAIL")</f>
        <v>PASS</v>
      </c>
      <c r="H49" s="19" t="str">
        <f>IF(ABS(H48-'TAM summary'!G9)&lt;1,"PASS","FAIL")</f>
        <v>PASS</v>
      </c>
      <c r="I49" s="19" t="str">
        <f>IF(ABS(I48-'TAM summary'!G10)&lt;1,"PASS","FAIL")</f>
        <v>PASS</v>
      </c>
      <c r="J49" s="19" t="str">
        <f>IF(ABS(J48-'TAM summary'!G11)&lt;1,"PASS","FAIL")</f>
        <v>PASS</v>
      </c>
      <c r="K49" s="20"/>
    </row>
    <row r="50" spans="1:11" ht="10" customHeight="1" x14ac:dyDescent="0.2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7A99"/>
  </sheetPr>
  <dimension ref="A1:J125"/>
  <sheetViews>
    <sheetView showGridLines="0" workbookViewId="0">
      <selection activeCell="A2" sqref="A2"/>
    </sheetView>
  </sheetViews>
  <sheetFormatPr baseColWidth="10" defaultColWidth="8.83203125" defaultRowHeight="15" x14ac:dyDescent="0.2"/>
  <cols>
    <col min="1" max="1" width="14" customWidth="1"/>
    <col min="2" max="2" width="34" customWidth="1"/>
    <col min="3" max="3" width="20" customWidth="1"/>
    <col min="4" max="4" width="8" customWidth="1"/>
    <col min="5" max="5" width="26" customWidth="1"/>
    <col min="6" max="9" width="12" customWidth="1"/>
    <col min="10" max="10" width="30" customWidth="1"/>
  </cols>
  <sheetData>
    <row r="1" spans="1:10" ht="10" customHeight="1" x14ac:dyDescent="0.2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10" customHeight="1" x14ac:dyDescent="0.2">
      <c r="A2" s="2" t="s">
        <v>83</v>
      </c>
      <c r="B2" s="2"/>
      <c r="C2" s="2"/>
      <c r="D2" s="2"/>
      <c r="E2" s="2"/>
      <c r="F2" s="2"/>
      <c r="G2" s="2"/>
      <c r="H2" s="2"/>
      <c r="I2" s="2"/>
      <c r="J2" s="2"/>
    </row>
    <row r="3" spans="1:10" ht="10" customHeight="1" x14ac:dyDescent="0.2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ht="10" customHeight="1" x14ac:dyDescent="0.2">
      <c r="A4" s="4" t="s">
        <v>84</v>
      </c>
      <c r="B4" s="4" t="s">
        <v>85</v>
      </c>
      <c r="C4" s="4" t="s">
        <v>25</v>
      </c>
      <c r="D4" s="4" t="s">
        <v>4</v>
      </c>
      <c r="E4" s="4" t="s">
        <v>86</v>
      </c>
      <c r="F4" s="5" t="s">
        <v>87</v>
      </c>
      <c r="G4" s="5" t="s">
        <v>88</v>
      </c>
      <c r="H4" s="5" t="s">
        <v>9</v>
      </c>
      <c r="I4" s="4" t="s">
        <v>89</v>
      </c>
      <c r="J4" s="4" t="s">
        <v>90</v>
      </c>
    </row>
    <row r="5" spans="1:10" ht="10" customHeight="1" x14ac:dyDescent="0.2">
      <c r="A5" s="3" t="s">
        <v>91</v>
      </c>
      <c r="B5" s="6" t="s">
        <v>92</v>
      </c>
      <c r="C5" s="6" t="s">
        <v>37</v>
      </c>
      <c r="D5" s="21">
        <v>1</v>
      </c>
      <c r="E5" s="6" t="s">
        <v>93</v>
      </c>
      <c r="F5" s="7">
        <v>0</v>
      </c>
      <c r="G5" s="7">
        <v>9580774</v>
      </c>
      <c r="H5" s="7">
        <v>10920486</v>
      </c>
      <c r="I5" s="21" t="s">
        <v>94</v>
      </c>
      <c r="J5" s="3" t="s">
        <v>95</v>
      </c>
    </row>
    <row r="6" spans="1:10" ht="10" customHeight="1" x14ac:dyDescent="0.2">
      <c r="A6" s="3" t="s">
        <v>96</v>
      </c>
      <c r="B6" s="6" t="s">
        <v>97</v>
      </c>
      <c r="C6" s="6" t="s">
        <v>39</v>
      </c>
      <c r="D6" s="21">
        <v>1</v>
      </c>
      <c r="E6" s="6" t="s">
        <v>93</v>
      </c>
      <c r="F6" s="7">
        <v>10656927</v>
      </c>
      <c r="G6" s="7">
        <v>13320211</v>
      </c>
      <c r="H6" s="7">
        <v>11078029</v>
      </c>
      <c r="I6" s="21" t="s">
        <v>94</v>
      </c>
      <c r="J6" s="3" t="s">
        <v>98</v>
      </c>
    </row>
    <row r="7" spans="1:10" ht="10" customHeight="1" x14ac:dyDescent="0.2">
      <c r="A7" s="3" t="s">
        <v>99</v>
      </c>
      <c r="B7" s="6" t="s">
        <v>100</v>
      </c>
      <c r="C7" s="6" t="s">
        <v>101</v>
      </c>
      <c r="D7" s="21">
        <v>1</v>
      </c>
      <c r="E7" s="6" t="s">
        <v>102</v>
      </c>
      <c r="F7" s="7">
        <v>2529513</v>
      </c>
      <c r="G7" s="7">
        <v>2034054</v>
      </c>
      <c r="H7" s="7">
        <v>3281673</v>
      </c>
      <c r="I7" s="21" t="s">
        <v>94</v>
      </c>
      <c r="J7" s="3" t="s">
        <v>103</v>
      </c>
    </row>
    <row r="8" spans="1:10" ht="10" customHeight="1" x14ac:dyDescent="0.2">
      <c r="A8" s="3" t="s">
        <v>104</v>
      </c>
      <c r="B8" s="6" t="s">
        <v>105</v>
      </c>
      <c r="C8" s="6" t="s">
        <v>106</v>
      </c>
      <c r="D8" s="21">
        <v>1</v>
      </c>
      <c r="E8" s="6" t="s">
        <v>107</v>
      </c>
      <c r="F8" s="7">
        <v>6366431</v>
      </c>
      <c r="G8" s="7">
        <v>8268628</v>
      </c>
      <c r="H8" s="7">
        <v>5410773</v>
      </c>
      <c r="I8" s="21" t="s">
        <v>94</v>
      </c>
      <c r="J8" s="3" t="s">
        <v>108</v>
      </c>
    </row>
    <row r="9" spans="1:10" ht="10" customHeight="1" x14ac:dyDescent="0.2">
      <c r="A9" s="3" t="s">
        <v>109</v>
      </c>
      <c r="B9" s="6" t="s">
        <v>110</v>
      </c>
      <c r="C9" s="6" t="s">
        <v>44</v>
      </c>
      <c r="D9" s="21">
        <v>1</v>
      </c>
      <c r="E9" s="6" t="s">
        <v>111</v>
      </c>
      <c r="F9" s="7">
        <v>392892</v>
      </c>
      <c r="G9" s="7">
        <v>61100</v>
      </c>
      <c r="H9" s="7">
        <v>52358</v>
      </c>
      <c r="I9" s="21" t="s">
        <v>94</v>
      </c>
      <c r="J9" s="3" t="s">
        <v>112</v>
      </c>
    </row>
    <row r="10" spans="1:10" ht="10" customHeight="1" x14ac:dyDescent="0.2">
      <c r="A10" s="3" t="s">
        <v>113</v>
      </c>
      <c r="B10" s="6" t="s">
        <v>114</v>
      </c>
      <c r="C10" s="6" t="s">
        <v>46</v>
      </c>
      <c r="D10" s="21">
        <v>1</v>
      </c>
      <c r="E10" s="6" t="s">
        <v>115</v>
      </c>
      <c r="F10" s="7">
        <v>2183861</v>
      </c>
      <c r="G10" s="7">
        <v>633200</v>
      </c>
      <c r="H10" s="7">
        <v>0</v>
      </c>
      <c r="I10" s="21" t="s">
        <v>94</v>
      </c>
      <c r="J10" s="3" t="s">
        <v>116</v>
      </c>
    </row>
    <row r="11" spans="1:10" ht="10" customHeight="1" x14ac:dyDescent="0.2">
      <c r="A11" s="3" t="s">
        <v>117</v>
      </c>
      <c r="B11" s="6" t="s">
        <v>118</v>
      </c>
      <c r="C11" s="6" t="s">
        <v>47</v>
      </c>
      <c r="D11" s="21">
        <v>1</v>
      </c>
      <c r="E11" s="6" t="s">
        <v>119</v>
      </c>
      <c r="F11" s="7">
        <v>23000</v>
      </c>
      <c r="G11" s="7">
        <v>48000</v>
      </c>
      <c r="H11" s="7">
        <v>0</v>
      </c>
      <c r="I11" s="21" t="s">
        <v>94</v>
      </c>
      <c r="J11" s="3" t="s">
        <v>120</v>
      </c>
    </row>
    <row r="12" spans="1:10" ht="10" customHeight="1" x14ac:dyDescent="0.2">
      <c r="A12" s="3" t="s">
        <v>121</v>
      </c>
      <c r="B12" s="6" t="s">
        <v>50</v>
      </c>
      <c r="C12" s="6" t="s">
        <v>122</v>
      </c>
      <c r="D12" s="21">
        <v>1</v>
      </c>
      <c r="E12" s="6" t="s">
        <v>123</v>
      </c>
      <c r="F12" s="7">
        <v>516520</v>
      </c>
      <c r="G12" s="7">
        <v>1581121</v>
      </c>
      <c r="H12" s="7">
        <v>2600000</v>
      </c>
      <c r="I12" s="21" t="s">
        <v>94</v>
      </c>
      <c r="J12" s="3" t="s">
        <v>124</v>
      </c>
    </row>
    <row r="13" spans="1:10" ht="10" customHeight="1" x14ac:dyDescent="0.2">
      <c r="A13" s="3" t="s">
        <v>125</v>
      </c>
      <c r="B13" s="6" t="s">
        <v>126</v>
      </c>
      <c r="C13" s="6" t="s">
        <v>51</v>
      </c>
      <c r="D13" s="21">
        <v>1</v>
      </c>
      <c r="E13" s="6" t="s">
        <v>123</v>
      </c>
      <c r="F13" s="7">
        <v>1830149</v>
      </c>
      <c r="G13" s="7">
        <v>176515</v>
      </c>
      <c r="H13" s="7">
        <v>3895000</v>
      </c>
      <c r="I13" s="21" t="s">
        <v>94</v>
      </c>
      <c r="J13" s="3" t="s">
        <v>124</v>
      </c>
    </row>
    <row r="14" spans="1:10" ht="10" customHeight="1" x14ac:dyDescent="0.2">
      <c r="A14" s="3" t="s">
        <v>127</v>
      </c>
      <c r="B14" s="6" t="s">
        <v>128</v>
      </c>
      <c r="C14" s="6" t="s">
        <v>53</v>
      </c>
      <c r="D14" s="21">
        <v>1</v>
      </c>
      <c r="E14" s="6" t="s">
        <v>129</v>
      </c>
      <c r="F14" s="7">
        <v>0</v>
      </c>
      <c r="G14" s="7">
        <v>29668</v>
      </c>
      <c r="H14" s="7">
        <v>1963941</v>
      </c>
      <c r="I14" s="21" t="s">
        <v>94</v>
      </c>
      <c r="J14" s="3" t="s">
        <v>130</v>
      </c>
    </row>
    <row r="15" spans="1:10" ht="10" customHeight="1" x14ac:dyDescent="0.2">
      <c r="A15" s="3" t="s">
        <v>131</v>
      </c>
      <c r="B15" s="6" t="s">
        <v>132</v>
      </c>
      <c r="C15" s="6" t="s">
        <v>133</v>
      </c>
      <c r="D15" s="21">
        <v>1</v>
      </c>
      <c r="E15" s="6" t="s">
        <v>134</v>
      </c>
      <c r="F15" s="7">
        <v>938315</v>
      </c>
      <c r="G15" s="7">
        <v>227154</v>
      </c>
      <c r="H15" s="7">
        <v>1861705</v>
      </c>
      <c r="I15" s="21" t="s">
        <v>94</v>
      </c>
      <c r="J15" s="3" t="s">
        <v>135</v>
      </c>
    </row>
    <row r="16" spans="1:10" ht="10" customHeight="1" x14ac:dyDescent="0.2">
      <c r="A16" s="3" t="s">
        <v>136</v>
      </c>
      <c r="B16" s="6" t="s">
        <v>137</v>
      </c>
      <c r="C16" s="6" t="s">
        <v>56</v>
      </c>
      <c r="D16" s="21">
        <v>1</v>
      </c>
      <c r="E16" s="6" t="s">
        <v>129</v>
      </c>
      <c r="F16" s="7">
        <v>513466</v>
      </c>
      <c r="G16" s="7">
        <v>0</v>
      </c>
      <c r="H16" s="7">
        <v>612205</v>
      </c>
      <c r="I16" s="21" t="s">
        <v>94</v>
      </c>
      <c r="J16" s="3"/>
    </row>
    <row r="17" spans="1:10" ht="10" customHeight="1" x14ac:dyDescent="0.2">
      <c r="A17" s="3" t="s">
        <v>138</v>
      </c>
      <c r="B17" s="6" t="s">
        <v>139</v>
      </c>
      <c r="C17" s="6" t="s">
        <v>140</v>
      </c>
      <c r="D17" s="21">
        <v>1</v>
      </c>
      <c r="E17" s="6" t="s">
        <v>129</v>
      </c>
      <c r="F17" s="7">
        <v>22959</v>
      </c>
      <c r="G17" s="7">
        <v>82587</v>
      </c>
      <c r="H17" s="7">
        <v>0</v>
      </c>
      <c r="I17" s="21" t="s">
        <v>94</v>
      </c>
      <c r="J17" s="3" t="s">
        <v>141</v>
      </c>
    </row>
    <row r="18" spans="1:10" ht="10" customHeight="1" x14ac:dyDescent="0.2">
      <c r="A18" s="3" t="s">
        <v>142</v>
      </c>
      <c r="B18" s="6" t="s">
        <v>143</v>
      </c>
      <c r="C18" s="6" t="s">
        <v>144</v>
      </c>
      <c r="D18" s="21">
        <v>1</v>
      </c>
      <c r="E18" s="6" t="s">
        <v>129</v>
      </c>
      <c r="F18" s="7">
        <v>0</v>
      </c>
      <c r="G18" s="7">
        <v>18000</v>
      </c>
      <c r="H18" s="7">
        <v>0</v>
      </c>
      <c r="I18" s="21" t="s">
        <v>94</v>
      </c>
      <c r="J18" s="3" t="s">
        <v>141</v>
      </c>
    </row>
    <row r="19" spans="1:10" ht="10" customHeight="1" x14ac:dyDescent="0.2">
      <c r="A19" s="3" t="s">
        <v>145</v>
      </c>
      <c r="B19" s="6" t="s">
        <v>58</v>
      </c>
      <c r="C19" s="6" t="s">
        <v>146</v>
      </c>
      <c r="D19" s="21">
        <v>1</v>
      </c>
      <c r="E19" s="6" t="s">
        <v>129</v>
      </c>
      <c r="F19" s="7">
        <v>62532</v>
      </c>
      <c r="G19" s="7">
        <v>0</v>
      </c>
      <c r="H19" s="7">
        <v>295000</v>
      </c>
      <c r="I19" s="21" t="s">
        <v>94</v>
      </c>
      <c r="J19" s="3" t="s">
        <v>147</v>
      </c>
    </row>
    <row r="20" spans="1:10" ht="10" customHeight="1" x14ac:dyDescent="0.2">
      <c r="A20" s="3" t="s">
        <v>148</v>
      </c>
      <c r="B20" s="6" t="s">
        <v>149</v>
      </c>
      <c r="C20" s="6" t="s">
        <v>150</v>
      </c>
      <c r="D20" s="21">
        <v>1</v>
      </c>
      <c r="E20" s="6" t="s">
        <v>129</v>
      </c>
      <c r="F20" s="7">
        <v>0</v>
      </c>
      <c r="G20" s="7">
        <v>0</v>
      </c>
      <c r="H20" s="7">
        <v>600000</v>
      </c>
      <c r="I20" s="21" t="s">
        <v>94</v>
      </c>
      <c r="J20" s="3" t="s">
        <v>8</v>
      </c>
    </row>
    <row r="21" spans="1:10" ht="10" customHeight="1" x14ac:dyDescent="0.2">
      <c r="A21" s="3" t="s">
        <v>151</v>
      </c>
      <c r="B21" s="6" t="s">
        <v>152</v>
      </c>
      <c r="C21" s="6" t="s">
        <v>153</v>
      </c>
      <c r="D21" s="21">
        <v>1</v>
      </c>
      <c r="E21" s="6" t="s">
        <v>154</v>
      </c>
      <c r="F21" s="7">
        <v>628600</v>
      </c>
      <c r="G21" s="7">
        <v>528039</v>
      </c>
      <c r="H21" s="7">
        <v>239095</v>
      </c>
      <c r="I21" s="21" t="s">
        <v>94</v>
      </c>
      <c r="J21" s="3" t="s">
        <v>155</v>
      </c>
    </row>
    <row r="22" spans="1:10" ht="10" customHeight="1" x14ac:dyDescent="0.2">
      <c r="A22" s="3" t="s">
        <v>156</v>
      </c>
      <c r="B22" s="6" t="s">
        <v>157</v>
      </c>
      <c r="C22" s="6" t="s">
        <v>158</v>
      </c>
      <c r="D22" s="21">
        <v>1</v>
      </c>
      <c r="E22" s="6" t="s">
        <v>158</v>
      </c>
      <c r="F22" s="7">
        <v>93815</v>
      </c>
      <c r="G22" s="7">
        <v>41426</v>
      </c>
      <c r="H22" s="7">
        <v>34602</v>
      </c>
      <c r="I22" s="21" t="s">
        <v>94</v>
      </c>
      <c r="J22" s="3"/>
    </row>
    <row r="23" spans="1:10" ht="10" customHeight="1" x14ac:dyDescent="0.2">
      <c r="A23" s="3" t="s">
        <v>159</v>
      </c>
      <c r="B23" s="6" t="s">
        <v>160</v>
      </c>
      <c r="C23" s="6" t="s">
        <v>161</v>
      </c>
      <c r="D23" s="21">
        <v>1</v>
      </c>
      <c r="E23" s="6" t="s">
        <v>129</v>
      </c>
      <c r="F23" s="7">
        <v>72000</v>
      </c>
      <c r="G23" s="7">
        <v>76168</v>
      </c>
      <c r="H23" s="7">
        <v>0</v>
      </c>
      <c r="I23" s="21" t="s">
        <v>94</v>
      </c>
      <c r="J23" s="3"/>
    </row>
    <row r="24" spans="1:10" ht="10" customHeight="1" x14ac:dyDescent="0.2">
      <c r="A24" s="3" t="s">
        <v>162</v>
      </c>
      <c r="B24" s="6" t="s">
        <v>163</v>
      </c>
      <c r="C24" s="6" t="s">
        <v>150</v>
      </c>
      <c r="D24" s="21">
        <v>1</v>
      </c>
      <c r="E24" s="6" t="s">
        <v>158</v>
      </c>
      <c r="F24" s="7">
        <v>142008</v>
      </c>
      <c r="G24" s="7">
        <v>204939</v>
      </c>
      <c r="H24" s="7">
        <v>145000</v>
      </c>
      <c r="I24" s="21" t="s">
        <v>94</v>
      </c>
      <c r="J24" s="3" t="s">
        <v>164</v>
      </c>
    </row>
    <row r="25" spans="1:10" ht="10" customHeight="1" x14ac:dyDescent="0.2">
      <c r="A25" s="3" t="s">
        <v>165</v>
      </c>
      <c r="B25" s="6" t="s">
        <v>74</v>
      </c>
      <c r="C25" s="6" t="s">
        <v>73</v>
      </c>
      <c r="D25" s="21">
        <v>1</v>
      </c>
      <c r="E25" s="6" t="s">
        <v>158</v>
      </c>
      <c r="F25" s="7">
        <v>512019</v>
      </c>
      <c r="G25" s="7">
        <v>585967</v>
      </c>
      <c r="H25" s="7">
        <v>887295</v>
      </c>
      <c r="I25" s="21" t="s">
        <v>94</v>
      </c>
      <c r="J25" s="3" t="s">
        <v>166</v>
      </c>
    </row>
    <row r="26" spans="1:10" ht="10" customHeight="1" x14ac:dyDescent="0.2">
      <c r="A26" s="3" t="s">
        <v>167</v>
      </c>
      <c r="B26" s="6" t="s">
        <v>168</v>
      </c>
      <c r="C26" s="6" t="s">
        <v>73</v>
      </c>
      <c r="D26" s="21">
        <v>1</v>
      </c>
      <c r="E26" s="6" t="s">
        <v>158</v>
      </c>
      <c r="F26" s="7">
        <v>0</v>
      </c>
      <c r="G26" s="7">
        <v>0</v>
      </c>
      <c r="H26" s="7">
        <v>1192266</v>
      </c>
      <c r="I26" s="21" t="s">
        <v>94</v>
      </c>
      <c r="J26" s="3" t="s">
        <v>169</v>
      </c>
    </row>
    <row r="27" spans="1:10" ht="10" customHeight="1" x14ac:dyDescent="0.2">
      <c r="A27" s="3" t="s">
        <v>170</v>
      </c>
      <c r="B27" s="6" t="s">
        <v>171</v>
      </c>
      <c r="C27" s="6" t="s">
        <v>172</v>
      </c>
      <c r="D27" s="21">
        <v>1</v>
      </c>
      <c r="E27" s="6" t="s">
        <v>173</v>
      </c>
      <c r="F27" s="7">
        <v>579000</v>
      </c>
      <c r="G27" s="7">
        <v>579000</v>
      </c>
      <c r="H27" s="7">
        <v>812400</v>
      </c>
      <c r="I27" s="21" t="s">
        <v>94</v>
      </c>
      <c r="J27" s="3" t="s">
        <v>174</v>
      </c>
    </row>
    <row r="28" spans="1:10" ht="10" customHeight="1" x14ac:dyDescent="0.2">
      <c r="A28" s="3" t="s">
        <v>170</v>
      </c>
      <c r="B28" s="6" t="s">
        <v>175</v>
      </c>
      <c r="C28" s="6" t="s">
        <v>176</v>
      </c>
      <c r="D28" s="21">
        <v>1</v>
      </c>
      <c r="E28" s="6" t="s">
        <v>177</v>
      </c>
      <c r="F28" s="7">
        <v>220000</v>
      </c>
      <c r="G28" s="7">
        <v>220000</v>
      </c>
      <c r="H28" s="7">
        <v>216000</v>
      </c>
      <c r="I28" s="21" t="s">
        <v>94</v>
      </c>
      <c r="J28" s="3" t="s">
        <v>178</v>
      </c>
    </row>
    <row r="29" spans="1:10" ht="10" customHeight="1" x14ac:dyDescent="0.2">
      <c r="A29" s="3" t="s">
        <v>170</v>
      </c>
      <c r="B29" s="6" t="s">
        <v>179</v>
      </c>
      <c r="C29" s="6" t="s">
        <v>180</v>
      </c>
      <c r="D29" s="21">
        <v>1</v>
      </c>
      <c r="E29" s="6" t="s">
        <v>177</v>
      </c>
      <c r="F29" s="7">
        <v>0</v>
      </c>
      <c r="G29" s="7">
        <v>0</v>
      </c>
      <c r="H29" s="7">
        <v>130000</v>
      </c>
      <c r="I29" s="21" t="s">
        <v>94</v>
      </c>
      <c r="J29" s="3" t="s">
        <v>181</v>
      </c>
    </row>
    <row r="30" spans="1:10" ht="10" customHeight="1" x14ac:dyDescent="0.2">
      <c r="A30" s="3" t="s">
        <v>170</v>
      </c>
      <c r="B30" s="6" t="s">
        <v>182</v>
      </c>
      <c r="C30" s="6" t="s">
        <v>183</v>
      </c>
      <c r="D30" s="21">
        <v>1</v>
      </c>
      <c r="E30" s="6" t="s">
        <v>129</v>
      </c>
      <c r="F30" s="7">
        <v>1000</v>
      </c>
      <c r="G30" s="7">
        <v>1000</v>
      </c>
      <c r="H30" s="7">
        <v>98000</v>
      </c>
      <c r="I30" s="21" t="s">
        <v>94</v>
      </c>
      <c r="J30" s="3"/>
    </row>
    <row r="31" spans="1:10" ht="10" customHeight="1" x14ac:dyDescent="0.2">
      <c r="A31" s="3" t="s">
        <v>170</v>
      </c>
      <c r="B31" s="6" t="s">
        <v>184</v>
      </c>
      <c r="C31" s="6" t="s">
        <v>185</v>
      </c>
      <c r="D31" s="21">
        <v>1</v>
      </c>
      <c r="E31" s="6" t="s">
        <v>123</v>
      </c>
      <c r="F31" s="7">
        <v>17100</v>
      </c>
      <c r="G31" s="7">
        <v>17100</v>
      </c>
      <c r="H31" s="7">
        <v>0</v>
      </c>
      <c r="I31" s="21" t="s">
        <v>94</v>
      </c>
      <c r="J31" s="3" t="s">
        <v>186</v>
      </c>
    </row>
    <row r="32" spans="1:10" ht="10" customHeight="1" x14ac:dyDescent="0.2">
      <c r="A32" s="3" t="s">
        <v>170</v>
      </c>
      <c r="B32" s="6" t="s">
        <v>187</v>
      </c>
      <c r="C32" s="6" t="s">
        <v>188</v>
      </c>
      <c r="D32" s="21">
        <v>1</v>
      </c>
      <c r="E32" s="6" t="s">
        <v>189</v>
      </c>
      <c r="F32" s="7">
        <v>125000</v>
      </c>
      <c r="G32" s="7">
        <v>125000</v>
      </c>
      <c r="H32" s="7">
        <v>0</v>
      </c>
      <c r="I32" s="21" t="s">
        <v>94</v>
      </c>
      <c r="J32" s="3" t="s">
        <v>190</v>
      </c>
    </row>
    <row r="33" spans="1:10" ht="10" customHeight="1" x14ac:dyDescent="0.2">
      <c r="A33" s="3" t="s">
        <v>170</v>
      </c>
      <c r="B33" s="6" t="s">
        <v>191</v>
      </c>
      <c r="C33" s="6" t="s">
        <v>188</v>
      </c>
      <c r="D33" s="21">
        <v>1</v>
      </c>
      <c r="E33" s="6" t="s">
        <v>129</v>
      </c>
      <c r="F33" s="7">
        <v>20000</v>
      </c>
      <c r="G33" s="7">
        <v>20000</v>
      </c>
      <c r="H33" s="7">
        <v>0</v>
      </c>
      <c r="I33" s="21" t="s">
        <v>94</v>
      </c>
      <c r="J33" s="3"/>
    </row>
    <row r="34" spans="1:10" ht="10" customHeight="1" x14ac:dyDescent="0.2">
      <c r="A34" s="3" t="s">
        <v>192</v>
      </c>
      <c r="B34" s="6" t="s">
        <v>193</v>
      </c>
      <c r="C34" s="6" t="s">
        <v>73</v>
      </c>
      <c r="D34" s="21">
        <v>2</v>
      </c>
      <c r="E34" s="6" t="s">
        <v>194</v>
      </c>
      <c r="F34" s="7">
        <v>1203816</v>
      </c>
      <c r="G34" s="7">
        <v>869253</v>
      </c>
      <c r="H34" s="7">
        <v>1197180</v>
      </c>
      <c r="I34" s="21" t="s">
        <v>94</v>
      </c>
      <c r="J34" s="3"/>
    </row>
    <row r="35" spans="1:10" ht="10" customHeight="1" x14ac:dyDescent="0.2">
      <c r="A35" s="3" t="s">
        <v>192</v>
      </c>
      <c r="B35" s="6" t="s">
        <v>195</v>
      </c>
      <c r="C35" s="6" t="s">
        <v>73</v>
      </c>
      <c r="D35" s="21">
        <v>2</v>
      </c>
      <c r="E35" s="6" t="s">
        <v>194</v>
      </c>
      <c r="F35" s="7">
        <v>1197197</v>
      </c>
      <c r="G35" s="7">
        <v>1306411</v>
      </c>
      <c r="H35" s="7">
        <v>1341155</v>
      </c>
      <c r="I35" s="21" t="s">
        <v>94</v>
      </c>
      <c r="J35" s="3"/>
    </row>
    <row r="36" spans="1:10" ht="10" customHeight="1" x14ac:dyDescent="0.2">
      <c r="A36" s="3" t="s">
        <v>192</v>
      </c>
      <c r="B36" s="6" t="s">
        <v>196</v>
      </c>
      <c r="C36" s="6" t="s">
        <v>73</v>
      </c>
      <c r="D36" s="21">
        <v>2</v>
      </c>
      <c r="E36" s="6" t="s">
        <v>194</v>
      </c>
      <c r="F36" s="7">
        <v>1247653</v>
      </c>
      <c r="G36" s="7">
        <v>1290155</v>
      </c>
      <c r="H36" s="7">
        <v>1289894</v>
      </c>
      <c r="I36" s="21" t="s">
        <v>94</v>
      </c>
      <c r="J36" s="3"/>
    </row>
    <row r="37" spans="1:10" ht="10" customHeight="1" x14ac:dyDescent="0.2">
      <c r="A37" s="3" t="s">
        <v>192</v>
      </c>
      <c r="B37" s="6" t="s">
        <v>197</v>
      </c>
      <c r="C37" s="6" t="s">
        <v>198</v>
      </c>
      <c r="D37" s="21">
        <v>2</v>
      </c>
      <c r="E37" s="6" t="s">
        <v>199</v>
      </c>
      <c r="F37" s="7">
        <v>871537</v>
      </c>
      <c r="G37" s="7">
        <v>896253</v>
      </c>
      <c r="H37" s="7">
        <v>924629</v>
      </c>
      <c r="I37" s="21" t="s">
        <v>94</v>
      </c>
      <c r="J37" s="3" t="s">
        <v>200</v>
      </c>
    </row>
    <row r="38" spans="1:10" ht="10" customHeight="1" x14ac:dyDescent="0.2">
      <c r="A38" s="3" t="s">
        <v>192</v>
      </c>
      <c r="B38" s="6" t="s">
        <v>201</v>
      </c>
      <c r="C38" s="6" t="s">
        <v>73</v>
      </c>
      <c r="D38" s="21">
        <v>2</v>
      </c>
      <c r="E38" s="6" t="s">
        <v>194</v>
      </c>
      <c r="F38" s="7">
        <v>1245621</v>
      </c>
      <c r="G38" s="7">
        <v>1270256</v>
      </c>
      <c r="H38" s="7">
        <v>1267865</v>
      </c>
      <c r="I38" s="21" t="s">
        <v>94</v>
      </c>
      <c r="J38" s="3"/>
    </row>
    <row r="39" spans="1:10" ht="10" customHeight="1" x14ac:dyDescent="0.2">
      <c r="A39" s="3" t="s">
        <v>192</v>
      </c>
      <c r="B39" s="6" t="s">
        <v>202</v>
      </c>
      <c r="C39" s="6" t="s">
        <v>73</v>
      </c>
      <c r="D39" s="21">
        <v>2</v>
      </c>
      <c r="E39" s="6" t="s">
        <v>194</v>
      </c>
      <c r="F39" s="7">
        <v>1134835</v>
      </c>
      <c r="G39" s="7">
        <v>1139556</v>
      </c>
      <c r="H39" s="7">
        <v>1134328</v>
      </c>
      <c r="I39" s="21" t="s">
        <v>94</v>
      </c>
      <c r="J39" s="3"/>
    </row>
    <row r="40" spans="1:10" ht="10" customHeight="1" x14ac:dyDescent="0.2">
      <c r="A40" s="3" t="s">
        <v>192</v>
      </c>
      <c r="B40" s="6" t="s">
        <v>203</v>
      </c>
      <c r="C40" s="6" t="s">
        <v>198</v>
      </c>
      <c r="D40" s="21">
        <v>2</v>
      </c>
      <c r="E40" s="6" t="s">
        <v>199</v>
      </c>
      <c r="F40" s="7">
        <v>630555</v>
      </c>
      <c r="G40" s="7">
        <v>639229</v>
      </c>
      <c r="H40" s="7">
        <v>642190</v>
      </c>
      <c r="I40" s="21" t="s">
        <v>94</v>
      </c>
      <c r="J40" s="3" t="s">
        <v>204</v>
      </c>
    </row>
    <row r="41" spans="1:10" ht="10" customHeight="1" x14ac:dyDescent="0.2">
      <c r="A41" s="3" t="s">
        <v>192</v>
      </c>
      <c r="B41" s="6" t="s">
        <v>205</v>
      </c>
      <c r="C41" s="6" t="s">
        <v>206</v>
      </c>
      <c r="D41" s="21">
        <v>2</v>
      </c>
      <c r="E41" s="6" t="s">
        <v>194</v>
      </c>
      <c r="F41" s="7">
        <v>762048</v>
      </c>
      <c r="G41" s="7">
        <v>816344</v>
      </c>
      <c r="H41" s="7">
        <v>784000</v>
      </c>
      <c r="I41" s="21" t="s">
        <v>94</v>
      </c>
      <c r="J41" s="3"/>
    </row>
    <row r="42" spans="1:10" ht="10" customHeight="1" x14ac:dyDescent="0.2">
      <c r="A42" s="3" t="s">
        <v>192</v>
      </c>
      <c r="B42" s="6" t="s">
        <v>207</v>
      </c>
      <c r="C42" s="6" t="s">
        <v>208</v>
      </c>
      <c r="D42" s="21">
        <v>2</v>
      </c>
      <c r="E42" s="6" t="s">
        <v>209</v>
      </c>
      <c r="F42" s="7">
        <v>569696</v>
      </c>
      <c r="G42" s="7">
        <v>656000</v>
      </c>
      <c r="H42" s="7">
        <v>624506</v>
      </c>
      <c r="I42" s="21" t="s">
        <v>94</v>
      </c>
      <c r="J42" s="3"/>
    </row>
    <row r="43" spans="1:10" ht="10" customHeight="1" x14ac:dyDescent="0.2">
      <c r="A43" s="3" t="s">
        <v>192</v>
      </c>
      <c r="B43" s="6" t="s">
        <v>210</v>
      </c>
      <c r="C43" s="6" t="s">
        <v>47</v>
      </c>
      <c r="D43" s="21">
        <v>2</v>
      </c>
      <c r="E43" s="6" t="s">
        <v>209</v>
      </c>
      <c r="F43" s="7">
        <v>481854</v>
      </c>
      <c r="G43" s="7">
        <v>539000</v>
      </c>
      <c r="H43" s="7">
        <v>492493</v>
      </c>
      <c r="I43" s="21" t="s">
        <v>94</v>
      </c>
      <c r="J43" s="3"/>
    </row>
    <row r="44" spans="1:10" ht="10" customHeight="1" x14ac:dyDescent="0.2">
      <c r="A44" s="3" t="s">
        <v>192</v>
      </c>
      <c r="B44" s="6" t="s">
        <v>211</v>
      </c>
      <c r="C44" s="6" t="s">
        <v>43</v>
      </c>
      <c r="D44" s="21">
        <v>2</v>
      </c>
      <c r="E44" s="6" t="s">
        <v>209</v>
      </c>
      <c r="F44" s="7">
        <v>758318</v>
      </c>
      <c r="G44" s="7">
        <v>758610</v>
      </c>
      <c r="H44" s="7">
        <v>749000</v>
      </c>
      <c r="I44" s="21" t="s">
        <v>94</v>
      </c>
      <c r="J44" s="3"/>
    </row>
    <row r="45" spans="1:10" ht="10" customHeight="1" x14ac:dyDescent="0.2">
      <c r="A45" s="3" t="s">
        <v>192</v>
      </c>
      <c r="B45" s="6" t="s">
        <v>212</v>
      </c>
      <c r="C45" s="6" t="s">
        <v>62</v>
      </c>
      <c r="D45" s="21">
        <v>2</v>
      </c>
      <c r="E45" s="6" t="s">
        <v>209</v>
      </c>
      <c r="F45" s="7">
        <v>0</v>
      </c>
      <c r="G45" s="7">
        <v>0</v>
      </c>
      <c r="H45" s="7">
        <v>1584000</v>
      </c>
      <c r="I45" s="21" t="s">
        <v>213</v>
      </c>
      <c r="J45" s="3" t="s">
        <v>214</v>
      </c>
    </row>
    <row r="46" spans="1:10" ht="10" customHeight="1" x14ac:dyDescent="0.2">
      <c r="A46" s="3" t="s">
        <v>192</v>
      </c>
      <c r="B46" s="6" t="s">
        <v>215</v>
      </c>
      <c r="C46" s="6" t="s">
        <v>73</v>
      </c>
      <c r="D46" s="21">
        <v>2</v>
      </c>
      <c r="E46" s="6" t="s">
        <v>194</v>
      </c>
      <c r="F46" s="7">
        <v>0</v>
      </c>
      <c r="G46" s="7">
        <v>0</v>
      </c>
      <c r="H46" s="7">
        <v>-176024</v>
      </c>
      <c r="I46" s="21" t="s">
        <v>216</v>
      </c>
      <c r="J46" s="3" t="s">
        <v>217</v>
      </c>
    </row>
    <row r="47" spans="1:10" ht="10" customHeight="1" x14ac:dyDescent="0.2">
      <c r="A47" s="3" t="s">
        <v>218</v>
      </c>
      <c r="B47" s="6" t="s">
        <v>219</v>
      </c>
      <c r="C47" s="6" t="s">
        <v>73</v>
      </c>
      <c r="D47" s="21">
        <v>2</v>
      </c>
      <c r="E47" s="6" t="s">
        <v>209</v>
      </c>
      <c r="F47" s="7">
        <v>2839179</v>
      </c>
      <c r="G47" s="7">
        <v>2392190</v>
      </c>
      <c r="H47" s="7">
        <v>2392620</v>
      </c>
      <c r="I47" s="21" t="s">
        <v>94</v>
      </c>
      <c r="J47" s="3" t="s">
        <v>220</v>
      </c>
    </row>
    <row r="48" spans="1:10" ht="10" customHeight="1" x14ac:dyDescent="0.2">
      <c r="A48" s="3" t="s">
        <v>221</v>
      </c>
      <c r="B48" s="6" t="s">
        <v>222</v>
      </c>
      <c r="C48" s="6" t="s">
        <v>223</v>
      </c>
      <c r="D48" s="21">
        <v>2</v>
      </c>
      <c r="E48" s="6" t="s">
        <v>194</v>
      </c>
      <c r="F48" s="7">
        <v>329409</v>
      </c>
      <c r="G48" s="7">
        <v>335840</v>
      </c>
      <c r="H48" s="7">
        <v>369358</v>
      </c>
      <c r="I48" s="21" t="s">
        <v>213</v>
      </c>
      <c r="J48" s="3" t="s">
        <v>224</v>
      </c>
    </row>
    <row r="49" spans="1:10" ht="10" customHeight="1" x14ac:dyDescent="0.2">
      <c r="A49" s="3" t="s">
        <v>192</v>
      </c>
      <c r="B49" s="6" t="s">
        <v>225</v>
      </c>
      <c r="C49" s="6" t="s">
        <v>73</v>
      </c>
      <c r="D49" s="21">
        <v>3</v>
      </c>
      <c r="E49" s="6" t="s">
        <v>194</v>
      </c>
      <c r="F49" s="7">
        <v>1259925</v>
      </c>
      <c r="G49" s="7">
        <v>1303227</v>
      </c>
      <c r="H49" s="7">
        <v>1321948</v>
      </c>
      <c r="I49" s="21" t="s">
        <v>94</v>
      </c>
      <c r="J49" s="3"/>
    </row>
    <row r="50" spans="1:10" ht="10" customHeight="1" x14ac:dyDescent="0.2">
      <c r="A50" s="3" t="s">
        <v>192</v>
      </c>
      <c r="B50" s="6" t="s">
        <v>226</v>
      </c>
      <c r="C50" s="6" t="s">
        <v>73</v>
      </c>
      <c r="D50" s="21">
        <v>3</v>
      </c>
      <c r="E50" s="6" t="s">
        <v>194</v>
      </c>
      <c r="F50" s="7">
        <v>581796</v>
      </c>
      <c r="G50" s="7">
        <v>602706</v>
      </c>
      <c r="H50" s="7">
        <v>640000</v>
      </c>
      <c r="I50" s="21" t="s">
        <v>94</v>
      </c>
      <c r="J50" s="3"/>
    </row>
    <row r="51" spans="1:10" ht="10" customHeight="1" x14ac:dyDescent="0.2">
      <c r="A51" s="3" t="s">
        <v>227</v>
      </c>
      <c r="B51" s="6" t="s">
        <v>228</v>
      </c>
      <c r="C51" s="6" t="s">
        <v>73</v>
      </c>
      <c r="D51" s="21">
        <v>3</v>
      </c>
      <c r="E51" s="6" t="s">
        <v>194</v>
      </c>
      <c r="F51" s="7">
        <v>22311</v>
      </c>
      <c r="G51" s="7">
        <v>25633</v>
      </c>
      <c r="H51" s="7">
        <v>26529</v>
      </c>
      <c r="I51" s="21" t="s">
        <v>94</v>
      </c>
      <c r="J51" s="3" t="s">
        <v>229</v>
      </c>
    </row>
    <row r="52" spans="1:10" ht="10" customHeight="1" x14ac:dyDescent="0.2">
      <c r="A52" s="3" t="s">
        <v>221</v>
      </c>
      <c r="B52" s="6" t="s">
        <v>230</v>
      </c>
      <c r="C52" s="6" t="s">
        <v>223</v>
      </c>
      <c r="D52" s="21">
        <v>3</v>
      </c>
      <c r="E52" s="6" t="s">
        <v>194</v>
      </c>
      <c r="F52" s="7">
        <v>219606</v>
      </c>
      <c r="G52" s="7">
        <v>223893</v>
      </c>
      <c r="H52" s="7">
        <v>246238</v>
      </c>
      <c r="I52" s="21" t="s">
        <v>213</v>
      </c>
      <c r="J52" s="3" t="s">
        <v>231</v>
      </c>
    </row>
    <row r="53" spans="1:10" ht="10" customHeight="1" x14ac:dyDescent="0.2">
      <c r="A53" s="3" t="s">
        <v>218</v>
      </c>
      <c r="B53" s="6" t="s">
        <v>232</v>
      </c>
      <c r="C53" s="6" t="s">
        <v>73</v>
      </c>
      <c r="D53" s="21">
        <v>4</v>
      </c>
      <c r="E53" s="6" t="s">
        <v>209</v>
      </c>
      <c r="F53" s="7">
        <v>12855</v>
      </c>
      <c r="G53" s="7">
        <v>20840</v>
      </c>
      <c r="H53" s="7">
        <v>9978</v>
      </c>
      <c r="I53" s="21" t="s">
        <v>94</v>
      </c>
      <c r="J53" s="3"/>
    </row>
    <row r="54" spans="1:10" ht="10" customHeight="1" x14ac:dyDescent="0.2">
      <c r="A54" s="3" t="s">
        <v>218</v>
      </c>
      <c r="B54" s="6" t="s">
        <v>233</v>
      </c>
      <c r="C54" s="6" t="s">
        <v>73</v>
      </c>
      <c r="D54" s="21">
        <v>4</v>
      </c>
      <c r="E54" s="6" t="s">
        <v>209</v>
      </c>
      <c r="F54" s="7">
        <v>92449</v>
      </c>
      <c r="G54" s="7">
        <v>77592</v>
      </c>
      <c r="H54" s="7">
        <v>62004</v>
      </c>
      <c r="I54" s="21" t="s">
        <v>94</v>
      </c>
      <c r="J54" s="3"/>
    </row>
    <row r="55" spans="1:10" ht="10" customHeight="1" x14ac:dyDescent="0.2">
      <c r="A55" s="3" t="s">
        <v>218</v>
      </c>
      <c r="B55" s="6" t="s">
        <v>234</v>
      </c>
      <c r="C55" s="6" t="s">
        <v>198</v>
      </c>
      <c r="D55" s="21">
        <v>4</v>
      </c>
      <c r="E55" s="6" t="s">
        <v>194</v>
      </c>
      <c r="F55" s="7">
        <v>272778</v>
      </c>
      <c r="G55" s="7">
        <v>290575</v>
      </c>
      <c r="H55" s="7">
        <v>277413</v>
      </c>
      <c r="I55" s="21" t="s">
        <v>94</v>
      </c>
      <c r="J55" s="3"/>
    </row>
    <row r="56" spans="1:10" ht="10" customHeight="1" x14ac:dyDescent="0.2">
      <c r="A56" s="3" t="s">
        <v>218</v>
      </c>
      <c r="B56" s="6" t="s">
        <v>235</v>
      </c>
      <c r="C56" s="6" t="s">
        <v>43</v>
      </c>
      <c r="D56" s="21">
        <v>4</v>
      </c>
      <c r="E56" s="6" t="s">
        <v>209</v>
      </c>
      <c r="F56" s="7">
        <v>641676</v>
      </c>
      <c r="G56" s="7">
        <v>861066</v>
      </c>
      <c r="H56" s="7">
        <v>997485</v>
      </c>
      <c r="I56" s="21" t="s">
        <v>94</v>
      </c>
      <c r="J56" s="3"/>
    </row>
    <row r="57" spans="1:10" ht="10" customHeight="1" x14ac:dyDescent="0.2">
      <c r="A57" s="3" t="s">
        <v>218</v>
      </c>
      <c r="B57" s="6" t="s">
        <v>236</v>
      </c>
      <c r="C57" s="6" t="s">
        <v>237</v>
      </c>
      <c r="D57" s="21">
        <v>4</v>
      </c>
      <c r="E57" s="6" t="s">
        <v>209</v>
      </c>
      <c r="F57" s="7">
        <v>102334</v>
      </c>
      <c r="G57" s="7">
        <v>81602</v>
      </c>
      <c r="H57" s="7">
        <v>123384</v>
      </c>
      <c r="I57" s="21" t="s">
        <v>94</v>
      </c>
      <c r="J57" s="3"/>
    </row>
    <row r="58" spans="1:10" ht="10" customHeight="1" x14ac:dyDescent="0.2">
      <c r="A58" s="3" t="s">
        <v>218</v>
      </c>
      <c r="B58" s="6" t="s">
        <v>238</v>
      </c>
      <c r="C58" s="6" t="s">
        <v>198</v>
      </c>
      <c r="D58" s="21">
        <v>4</v>
      </c>
      <c r="E58" s="6" t="s">
        <v>194</v>
      </c>
      <c r="F58" s="7">
        <v>210652</v>
      </c>
      <c r="G58" s="7">
        <v>293766</v>
      </c>
      <c r="H58" s="7">
        <v>383062</v>
      </c>
      <c r="I58" s="21" t="s">
        <v>94</v>
      </c>
      <c r="J58" s="3"/>
    </row>
    <row r="59" spans="1:10" ht="10" customHeight="1" x14ac:dyDescent="0.2">
      <c r="A59" s="3" t="s">
        <v>218</v>
      </c>
      <c r="B59" s="6" t="s">
        <v>239</v>
      </c>
      <c r="C59" s="6" t="s">
        <v>39</v>
      </c>
      <c r="D59" s="21">
        <v>4</v>
      </c>
      <c r="E59" s="6" t="s">
        <v>194</v>
      </c>
      <c r="F59" s="7">
        <v>32055</v>
      </c>
      <c r="G59" s="7">
        <v>43565</v>
      </c>
      <c r="H59" s="7">
        <v>52039</v>
      </c>
      <c r="I59" s="21" t="s">
        <v>94</v>
      </c>
      <c r="J59" s="3"/>
    </row>
    <row r="60" spans="1:10" ht="10" customHeight="1" x14ac:dyDescent="0.2">
      <c r="A60" s="3" t="s">
        <v>218</v>
      </c>
      <c r="B60" s="6" t="s">
        <v>240</v>
      </c>
      <c r="C60" s="6" t="s">
        <v>47</v>
      </c>
      <c r="D60" s="21">
        <v>4</v>
      </c>
      <c r="E60" s="6" t="s">
        <v>209</v>
      </c>
      <c r="F60" s="7">
        <v>17816</v>
      </c>
      <c r="G60" s="7">
        <v>7318</v>
      </c>
      <c r="H60" s="7">
        <v>2551</v>
      </c>
      <c r="I60" s="21" t="s">
        <v>94</v>
      </c>
      <c r="J60" s="3" t="s">
        <v>241</v>
      </c>
    </row>
    <row r="61" spans="1:10" ht="10" customHeight="1" x14ac:dyDescent="0.2">
      <c r="A61" s="3" t="s">
        <v>218</v>
      </c>
      <c r="B61" s="6" t="s">
        <v>242</v>
      </c>
      <c r="C61" s="6" t="s">
        <v>122</v>
      </c>
      <c r="D61" s="21">
        <v>4</v>
      </c>
      <c r="E61" s="6" t="s">
        <v>209</v>
      </c>
      <c r="F61" s="7">
        <v>80933</v>
      </c>
      <c r="G61" s="7">
        <v>38115</v>
      </c>
      <c r="H61" s="7">
        <v>125542</v>
      </c>
      <c r="I61" s="21" t="s">
        <v>94</v>
      </c>
      <c r="J61" s="3"/>
    </row>
    <row r="62" spans="1:10" ht="10" customHeight="1" x14ac:dyDescent="0.2">
      <c r="A62" s="3" t="s">
        <v>218</v>
      </c>
      <c r="B62" s="6" t="s">
        <v>243</v>
      </c>
      <c r="C62" s="6" t="s">
        <v>44</v>
      </c>
      <c r="D62" s="21">
        <v>4</v>
      </c>
      <c r="E62" s="6" t="s">
        <v>209</v>
      </c>
      <c r="F62" s="7">
        <v>220771</v>
      </c>
      <c r="G62" s="7">
        <v>340668</v>
      </c>
      <c r="H62" s="7">
        <v>115267</v>
      </c>
      <c r="I62" s="21" t="s">
        <v>94</v>
      </c>
      <c r="J62" s="3"/>
    </row>
    <row r="63" spans="1:10" ht="10" customHeight="1" x14ac:dyDescent="0.2">
      <c r="A63" s="3" t="s">
        <v>218</v>
      </c>
      <c r="B63" s="6" t="s">
        <v>244</v>
      </c>
      <c r="C63" s="6" t="s">
        <v>198</v>
      </c>
      <c r="D63" s="21">
        <v>4</v>
      </c>
      <c r="E63" s="6" t="s">
        <v>194</v>
      </c>
      <c r="F63" s="7">
        <v>23756</v>
      </c>
      <c r="G63" s="7">
        <v>53931</v>
      </c>
      <c r="H63" s="7">
        <v>53740</v>
      </c>
      <c r="I63" s="21" t="s">
        <v>94</v>
      </c>
      <c r="J63" s="3"/>
    </row>
    <row r="64" spans="1:10" ht="10" customHeight="1" x14ac:dyDescent="0.2">
      <c r="A64" s="3" t="s">
        <v>218</v>
      </c>
      <c r="B64" s="6" t="s">
        <v>245</v>
      </c>
      <c r="C64" s="6" t="s">
        <v>57</v>
      </c>
      <c r="D64" s="21">
        <v>4</v>
      </c>
      <c r="E64" s="6" t="s">
        <v>209</v>
      </c>
      <c r="F64" s="7">
        <v>10239</v>
      </c>
      <c r="G64" s="7">
        <v>11013</v>
      </c>
      <c r="H64" s="7">
        <v>20321</v>
      </c>
      <c r="I64" s="21" t="s">
        <v>94</v>
      </c>
      <c r="J64" s="3"/>
    </row>
    <row r="65" spans="1:10" ht="10" customHeight="1" x14ac:dyDescent="0.2">
      <c r="A65" s="3" t="s">
        <v>218</v>
      </c>
      <c r="B65" s="6" t="s">
        <v>246</v>
      </c>
      <c r="C65" s="6" t="s">
        <v>73</v>
      </c>
      <c r="D65" s="21">
        <v>4</v>
      </c>
      <c r="E65" s="6" t="s">
        <v>194</v>
      </c>
      <c r="F65" s="7">
        <v>389890</v>
      </c>
      <c r="G65" s="7">
        <v>445974</v>
      </c>
      <c r="H65" s="7">
        <v>399603</v>
      </c>
      <c r="I65" s="21" t="s">
        <v>94</v>
      </c>
      <c r="J65" s="3" t="s">
        <v>247</v>
      </c>
    </row>
    <row r="66" spans="1:10" ht="10" customHeight="1" x14ac:dyDescent="0.2">
      <c r="A66" s="3" t="s">
        <v>218</v>
      </c>
      <c r="B66" s="6" t="s">
        <v>248</v>
      </c>
      <c r="C66" s="6" t="s">
        <v>47</v>
      </c>
      <c r="D66" s="21">
        <v>4</v>
      </c>
      <c r="E66" s="6" t="s">
        <v>209</v>
      </c>
      <c r="F66" s="7">
        <v>49028</v>
      </c>
      <c r="G66" s="7">
        <v>56105</v>
      </c>
      <c r="H66" s="7">
        <v>38880</v>
      </c>
      <c r="I66" s="21" t="s">
        <v>94</v>
      </c>
      <c r="J66" s="3"/>
    </row>
    <row r="67" spans="1:10" ht="10" customHeight="1" x14ac:dyDescent="0.2">
      <c r="A67" s="3" t="s">
        <v>218</v>
      </c>
      <c r="B67" s="6" t="s">
        <v>249</v>
      </c>
      <c r="C67" s="6" t="s">
        <v>47</v>
      </c>
      <c r="D67" s="21">
        <v>4</v>
      </c>
      <c r="E67" s="6" t="s">
        <v>209</v>
      </c>
      <c r="F67" s="7">
        <v>87828</v>
      </c>
      <c r="G67" s="7">
        <v>118247</v>
      </c>
      <c r="H67" s="7">
        <v>91372</v>
      </c>
      <c r="I67" s="21" t="s">
        <v>94</v>
      </c>
      <c r="J67" s="3"/>
    </row>
    <row r="68" spans="1:10" ht="10" customHeight="1" x14ac:dyDescent="0.2">
      <c r="A68" s="3" t="s">
        <v>218</v>
      </c>
      <c r="B68" s="6" t="s">
        <v>250</v>
      </c>
      <c r="C68" s="6" t="s">
        <v>47</v>
      </c>
      <c r="D68" s="21">
        <v>4</v>
      </c>
      <c r="E68" s="6" t="s">
        <v>209</v>
      </c>
      <c r="F68" s="7">
        <v>12094</v>
      </c>
      <c r="G68" s="7">
        <v>11101</v>
      </c>
      <c r="H68" s="7">
        <v>3790</v>
      </c>
      <c r="I68" s="21" t="s">
        <v>94</v>
      </c>
      <c r="J68" s="3"/>
    </row>
    <row r="69" spans="1:10" ht="10" customHeight="1" x14ac:dyDescent="0.2">
      <c r="A69" s="3" t="s">
        <v>218</v>
      </c>
      <c r="B69" s="6" t="s">
        <v>251</v>
      </c>
      <c r="C69" s="6" t="s">
        <v>47</v>
      </c>
      <c r="D69" s="21">
        <v>4</v>
      </c>
      <c r="E69" s="6" t="s">
        <v>209</v>
      </c>
      <c r="F69" s="7">
        <v>154561</v>
      </c>
      <c r="G69" s="7">
        <v>188254</v>
      </c>
      <c r="H69" s="7">
        <v>237728</v>
      </c>
      <c r="I69" s="21" t="s">
        <v>94</v>
      </c>
      <c r="J69" s="3"/>
    </row>
    <row r="70" spans="1:10" ht="10" customHeight="1" x14ac:dyDescent="0.2">
      <c r="A70" s="3" t="s">
        <v>218</v>
      </c>
      <c r="B70" s="6" t="s">
        <v>252</v>
      </c>
      <c r="C70" s="6" t="s">
        <v>52</v>
      </c>
      <c r="D70" s="21">
        <v>4</v>
      </c>
      <c r="E70" s="6" t="s">
        <v>209</v>
      </c>
      <c r="F70" s="7">
        <v>3989</v>
      </c>
      <c r="G70" s="7">
        <v>56667</v>
      </c>
      <c r="H70" s="7">
        <v>4079</v>
      </c>
      <c r="I70" s="21" t="s">
        <v>94</v>
      </c>
      <c r="J70" s="3"/>
    </row>
    <row r="71" spans="1:10" ht="10" customHeight="1" x14ac:dyDescent="0.2">
      <c r="A71" s="3" t="s">
        <v>253</v>
      </c>
      <c r="B71" s="6" t="s">
        <v>254</v>
      </c>
      <c r="C71" s="6" t="s">
        <v>73</v>
      </c>
      <c r="D71" s="21">
        <v>4</v>
      </c>
      <c r="E71" s="6" t="s">
        <v>209</v>
      </c>
      <c r="F71" s="7">
        <v>133803</v>
      </c>
      <c r="G71" s="7">
        <v>134637</v>
      </c>
      <c r="H71" s="7">
        <v>144425</v>
      </c>
      <c r="I71" s="21" t="s">
        <v>94</v>
      </c>
      <c r="J71" s="3" t="s">
        <v>255</v>
      </c>
    </row>
    <row r="72" spans="1:10" ht="10" customHeight="1" x14ac:dyDescent="0.2">
      <c r="A72" s="3" t="s">
        <v>253</v>
      </c>
      <c r="B72" s="6" t="s">
        <v>256</v>
      </c>
      <c r="C72" s="6" t="s">
        <v>198</v>
      </c>
      <c r="D72" s="21">
        <v>4</v>
      </c>
      <c r="E72" s="6" t="s">
        <v>194</v>
      </c>
      <c r="F72" s="7">
        <v>107116</v>
      </c>
      <c r="G72" s="7">
        <v>117310</v>
      </c>
      <c r="H72" s="7">
        <v>398878</v>
      </c>
      <c r="I72" s="21" t="s">
        <v>213</v>
      </c>
      <c r="J72" s="3" t="s">
        <v>257</v>
      </c>
    </row>
    <row r="73" spans="1:10" ht="10" customHeight="1" x14ac:dyDescent="0.2">
      <c r="A73" s="3" t="s">
        <v>253</v>
      </c>
      <c r="B73" s="6" t="s">
        <v>258</v>
      </c>
      <c r="C73" s="6" t="s">
        <v>198</v>
      </c>
      <c r="D73" s="21">
        <v>4</v>
      </c>
      <c r="E73" s="6" t="s">
        <v>194</v>
      </c>
      <c r="F73" s="7">
        <v>41695</v>
      </c>
      <c r="G73" s="7">
        <v>51514</v>
      </c>
      <c r="H73" s="7">
        <v>56482</v>
      </c>
      <c r="I73" s="21" t="s">
        <v>94</v>
      </c>
      <c r="J73" s="3"/>
    </row>
    <row r="74" spans="1:10" ht="10" customHeight="1" x14ac:dyDescent="0.2">
      <c r="A74" s="3" t="s">
        <v>253</v>
      </c>
      <c r="B74" s="6" t="s">
        <v>259</v>
      </c>
      <c r="C74" s="6" t="s">
        <v>73</v>
      </c>
      <c r="D74" s="21">
        <v>4</v>
      </c>
      <c r="E74" s="6" t="s">
        <v>209</v>
      </c>
      <c r="F74" s="7">
        <v>325996</v>
      </c>
      <c r="G74" s="7">
        <v>182011</v>
      </c>
      <c r="H74" s="7">
        <v>461380</v>
      </c>
      <c r="I74" s="21" t="s">
        <v>94</v>
      </c>
      <c r="J74" s="3"/>
    </row>
    <row r="75" spans="1:10" ht="10" customHeight="1" x14ac:dyDescent="0.2">
      <c r="A75" s="3" t="s">
        <v>253</v>
      </c>
      <c r="B75" s="6" t="s">
        <v>260</v>
      </c>
      <c r="C75" s="6" t="s">
        <v>73</v>
      </c>
      <c r="D75" s="21">
        <v>4</v>
      </c>
      <c r="E75" s="6" t="s">
        <v>194</v>
      </c>
      <c r="F75" s="7">
        <v>367452</v>
      </c>
      <c r="G75" s="7">
        <v>362099</v>
      </c>
      <c r="H75" s="7">
        <v>379908</v>
      </c>
      <c r="I75" s="21" t="s">
        <v>94</v>
      </c>
      <c r="J75" s="3"/>
    </row>
    <row r="76" spans="1:10" ht="10" customHeight="1" x14ac:dyDescent="0.2">
      <c r="A76" s="3" t="s">
        <v>253</v>
      </c>
      <c r="B76" s="6" t="s">
        <v>261</v>
      </c>
      <c r="C76" s="6" t="s">
        <v>73</v>
      </c>
      <c r="D76" s="21">
        <v>4</v>
      </c>
      <c r="E76" s="6" t="s">
        <v>209</v>
      </c>
      <c r="F76" s="7">
        <v>22776</v>
      </c>
      <c r="G76" s="7">
        <v>23696</v>
      </c>
      <c r="H76" s="7">
        <v>25316</v>
      </c>
      <c r="I76" s="21" t="s">
        <v>213</v>
      </c>
      <c r="J76" s="3"/>
    </row>
    <row r="77" spans="1:10" ht="10" customHeight="1" x14ac:dyDescent="0.2">
      <c r="A77" s="3" t="s">
        <v>253</v>
      </c>
      <c r="B77" s="6" t="s">
        <v>262</v>
      </c>
      <c r="C77" s="6" t="s">
        <v>73</v>
      </c>
      <c r="D77" s="21">
        <v>4</v>
      </c>
      <c r="E77" s="6" t="s">
        <v>194</v>
      </c>
      <c r="F77" s="7">
        <v>416879</v>
      </c>
      <c r="G77" s="7">
        <v>413558</v>
      </c>
      <c r="H77" s="7">
        <v>530408</v>
      </c>
      <c r="I77" s="21" t="s">
        <v>213</v>
      </c>
      <c r="J77" s="3"/>
    </row>
    <row r="78" spans="1:10" ht="10" customHeight="1" x14ac:dyDescent="0.2">
      <c r="A78" s="3" t="s">
        <v>253</v>
      </c>
      <c r="B78" s="6" t="s">
        <v>263</v>
      </c>
      <c r="C78" s="6" t="s">
        <v>73</v>
      </c>
      <c r="D78" s="21">
        <v>4</v>
      </c>
      <c r="E78" s="6" t="s">
        <v>194</v>
      </c>
      <c r="F78" s="7">
        <v>38283</v>
      </c>
      <c r="G78" s="7">
        <v>40128</v>
      </c>
      <c r="H78" s="7">
        <v>45813</v>
      </c>
      <c r="I78" s="21" t="s">
        <v>213</v>
      </c>
      <c r="J78" s="3"/>
    </row>
    <row r="79" spans="1:10" ht="10" customHeight="1" x14ac:dyDescent="0.2">
      <c r="A79" s="3" t="s">
        <v>253</v>
      </c>
      <c r="B79" s="6" t="s">
        <v>264</v>
      </c>
      <c r="C79" s="6" t="s">
        <v>73</v>
      </c>
      <c r="D79" s="21">
        <v>4</v>
      </c>
      <c r="E79" s="6" t="s">
        <v>209</v>
      </c>
      <c r="F79" s="7">
        <v>279545</v>
      </c>
      <c r="G79" s="7">
        <v>222607</v>
      </c>
      <c r="H79" s="7">
        <v>249656</v>
      </c>
      <c r="I79" s="21" t="s">
        <v>94</v>
      </c>
      <c r="J79" s="3"/>
    </row>
    <row r="80" spans="1:10" ht="10" customHeight="1" x14ac:dyDescent="0.2">
      <c r="A80" s="3" t="s">
        <v>253</v>
      </c>
      <c r="B80" s="6" t="s">
        <v>265</v>
      </c>
      <c r="C80" s="6" t="s">
        <v>73</v>
      </c>
      <c r="D80" s="21">
        <v>4</v>
      </c>
      <c r="E80" s="6" t="s">
        <v>194</v>
      </c>
      <c r="F80" s="7">
        <v>68327</v>
      </c>
      <c r="G80" s="7">
        <v>104119</v>
      </c>
      <c r="H80" s="7">
        <v>106583</v>
      </c>
      <c r="I80" s="21" t="s">
        <v>94</v>
      </c>
      <c r="J80" s="3"/>
    </row>
    <row r="81" spans="1:10" ht="10" customHeight="1" x14ac:dyDescent="0.2">
      <c r="A81" s="3" t="s">
        <v>253</v>
      </c>
      <c r="B81" s="6" t="s">
        <v>266</v>
      </c>
      <c r="C81" s="6" t="s">
        <v>73</v>
      </c>
      <c r="D81" s="21">
        <v>4</v>
      </c>
      <c r="E81" s="6" t="s">
        <v>194</v>
      </c>
      <c r="F81" s="7">
        <v>14440</v>
      </c>
      <c r="G81" s="7">
        <v>15480</v>
      </c>
      <c r="H81" s="7">
        <v>18810</v>
      </c>
      <c r="I81" s="21" t="s">
        <v>213</v>
      </c>
      <c r="J81" s="3"/>
    </row>
    <row r="82" spans="1:10" ht="10" customHeight="1" x14ac:dyDescent="0.2">
      <c r="A82" s="3" t="s">
        <v>253</v>
      </c>
      <c r="B82" s="6" t="s">
        <v>267</v>
      </c>
      <c r="C82" s="6" t="s">
        <v>73</v>
      </c>
      <c r="D82" s="21">
        <v>4</v>
      </c>
      <c r="E82" s="6" t="s">
        <v>194</v>
      </c>
      <c r="F82" s="7">
        <v>96000</v>
      </c>
      <c r="G82" s="7">
        <v>100800</v>
      </c>
      <c r="H82" s="7">
        <v>121556</v>
      </c>
      <c r="I82" s="21" t="s">
        <v>213</v>
      </c>
      <c r="J82" s="3"/>
    </row>
    <row r="83" spans="1:10" ht="10" customHeight="1" x14ac:dyDescent="0.2">
      <c r="A83" s="3" t="s">
        <v>268</v>
      </c>
      <c r="B83" s="6" t="s">
        <v>269</v>
      </c>
      <c r="C83" s="6" t="s">
        <v>73</v>
      </c>
      <c r="D83" s="21">
        <v>4</v>
      </c>
      <c r="E83" s="6" t="s">
        <v>209</v>
      </c>
      <c r="F83" s="7">
        <v>16250</v>
      </c>
      <c r="G83" s="7">
        <v>6416</v>
      </c>
      <c r="H83" s="7">
        <v>7358</v>
      </c>
      <c r="I83" s="21" t="s">
        <v>94</v>
      </c>
      <c r="J83" s="3"/>
    </row>
    <row r="84" spans="1:10" ht="10" customHeight="1" x14ac:dyDescent="0.2">
      <c r="A84" s="3" t="s">
        <v>268</v>
      </c>
      <c r="B84" s="6" t="s">
        <v>270</v>
      </c>
      <c r="C84" s="6" t="s">
        <v>73</v>
      </c>
      <c r="D84" s="21">
        <v>4</v>
      </c>
      <c r="E84" s="6" t="s">
        <v>194</v>
      </c>
      <c r="F84" s="7">
        <v>227</v>
      </c>
      <c r="G84" s="7">
        <v>226</v>
      </c>
      <c r="H84" s="7">
        <v>209</v>
      </c>
      <c r="I84" s="21" t="s">
        <v>94</v>
      </c>
      <c r="J84" s="3"/>
    </row>
    <row r="85" spans="1:10" ht="10" customHeight="1" x14ac:dyDescent="0.2">
      <c r="A85" s="3" t="s">
        <v>268</v>
      </c>
      <c r="B85" s="6" t="s">
        <v>271</v>
      </c>
      <c r="C85" s="6" t="s">
        <v>73</v>
      </c>
      <c r="D85" s="21">
        <v>4</v>
      </c>
      <c r="E85" s="6" t="s">
        <v>194</v>
      </c>
      <c r="F85" s="7">
        <v>283972</v>
      </c>
      <c r="G85" s="7">
        <v>376830</v>
      </c>
      <c r="H85" s="7">
        <v>455822</v>
      </c>
      <c r="I85" s="21" t="s">
        <v>94</v>
      </c>
      <c r="J85" s="3"/>
    </row>
    <row r="86" spans="1:10" ht="10" customHeight="1" x14ac:dyDescent="0.2">
      <c r="A86" s="3" t="s">
        <v>268</v>
      </c>
      <c r="B86" s="6" t="s">
        <v>272</v>
      </c>
      <c r="C86" s="6" t="s">
        <v>73</v>
      </c>
      <c r="D86" s="21">
        <v>4</v>
      </c>
      <c r="E86" s="6" t="s">
        <v>194</v>
      </c>
      <c r="F86" s="7">
        <v>48696</v>
      </c>
      <c r="G86" s="7">
        <v>55392</v>
      </c>
      <c r="H86" s="7">
        <v>75396</v>
      </c>
      <c r="I86" s="21" t="s">
        <v>213</v>
      </c>
      <c r="J86" s="3"/>
    </row>
    <row r="87" spans="1:10" ht="10" customHeight="1" x14ac:dyDescent="0.2">
      <c r="A87" s="3" t="s">
        <v>268</v>
      </c>
      <c r="B87" s="6" t="s">
        <v>273</v>
      </c>
      <c r="C87" s="6" t="s">
        <v>73</v>
      </c>
      <c r="D87" s="21">
        <v>4</v>
      </c>
      <c r="E87" s="6" t="s">
        <v>194</v>
      </c>
      <c r="F87" s="7">
        <v>193500</v>
      </c>
      <c r="G87" s="7">
        <v>210000</v>
      </c>
      <c r="H87" s="7">
        <v>246500</v>
      </c>
      <c r="I87" s="21" t="s">
        <v>213</v>
      </c>
      <c r="J87" s="3"/>
    </row>
    <row r="88" spans="1:10" ht="10" customHeight="1" x14ac:dyDescent="0.2">
      <c r="A88" s="3" t="s">
        <v>268</v>
      </c>
      <c r="B88" s="6" t="s">
        <v>274</v>
      </c>
      <c r="C88" s="6" t="s">
        <v>198</v>
      </c>
      <c r="D88" s="21">
        <v>4</v>
      </c>
      <c r="E88" s="6" t="s">
        <v>194</v>
      </c>
      <c r="F88" s="7">
        <v>67400</v>
      </c>
      <c r="G88" s="7">
        <v>72536</v>
      </c>
      <c r="H88" s="7">
        <v>88554</v>
      </c>
      <c r="I88" s="21" t="s">
        <v>213</v>
      </c>
      <c r="J88" s="3"/>
    </row>
    <row r="89" spans="1:10" ht="10" customHeight="1" x14ac:dyDescent="0.2">
      <c r="A89" s="3" t="s">
        <v>268</v>
      </c>
      <c r="B89" s="6" t="s">
        <v>275</v>
      </c>
      <c r="C89" s="6" t="s">
        <v>73</v>
      </c>
      <c r="D89" s="21">
        <v>4</v>
      </c>
      <c r="E89" s="6" t="s">
        <v>194</v>
      </c>
      <c r="F89" s="7">
        <v>37301</v>
      </c>
      <c r="G89" s="7">
        <v>25362</v>
      </c>
      <c r="H89" s="7">
        <v>25721</v>
      </c>
      <c r="I89" s="21" t="s">
        <v>94</v>
      </c>
      <c r="J89" s="3"/>
    </row>
    <row r="90" spans="1:10" ht="10" customHeight="1" x14ac:dyDescent="0.2">
      <c r="A90" s="3" t="s">
        <v>268</v>
      </c>
      <c r="B90" s="6" t="s">
        <v>276</v>
      </c>
      <c r="C90" s="6" t="s">
        <v>73</v>
      </c>
      <c r="D90" s="21">
        <v>4</v>
      </c>
      <c r="E90" s="6" t="s">
        <v>209</v>
      </c>
      <c r="F90" s="7">
        <v>0</v>
      </c>
      <c r="G90" s="7">
        <v>3817</v>
      </c>
      <c r="H90" s="7">
        <v>2976</v>
      </c>
      <c r="I90" s="21" t="s">
        <v>94</v>
      </c>
      <c r="J90" s="3"/>
    </row>
    <row r="91" spans="1:10" ht="10" customHeight="1" x14ac:dyDescent="0.2">
      <c r="A91" s="3" t="s">
        <v>268</v>
      </c>
      <c r="B91" s="6" t="s">
        <v>277</v>
      </c>
      <c r="C91" s="6" t="s">
        <v>73</v>
      </c>
      <c r="D91" s="21">
        <v>4</v>
      </c>
      <c r="E91" s="6" t="s">
        <v>194</v>
      </c>
      <c r="F91" s="7">
        <v>51100</v>
      </c>
      <c r="G91" s="7">
        <v>75614</v>
      </c>
      <c r="H91" s="7">
        <v>89129</v>
      </c>
      <c r="I91" s="21" t="s">
        <v>94</v>
      </c>
      <c r="J91" s="3"/>
    </row>
    <row r="92" spans="1:10" ht="10" customHeight="1" x14ac:dyDescent="0.2">
      <c r="A92" s="3" t="s">
        <v>170</v>
      </c>
      <c r="B92" s="6" t="s">
        <v>278</v>
      </c>
      <c r="C92" s="6" t="s">
        <v>223</v>
      </c>
      <c r="D92" s="21">
        <v>4</v>
      </c>
      <c r="E92" s="6" t="s">
        <v>194</v>
      </c>
      <c r="F92" s="7">
        <v>25000</v>
      </c>
      <c r="G92" s="7">
        <v>28000</v>
      </c>
      <c r="H92" s="7">
        <v>30000</v>
      </c>
      <c r="I92" s="21" t="s">
        <v>213</v>
      </c>
      <c r="J92" s="3" t="s">
        <v>279</v>
      </c>
    </row>
    <row r="93" spans="1:10" ht="10" customHeight="1" x14ac:dyDescent="0.2">
      <c r="A93" s="3" t="s">
        <v>170</v>
      </c>
      <c r="B93" s="6" t="s">
        <v>280</v>
      </c>
      <c r="C93" s="6" t="s">
        <v>223</v>
      </c>
      <c r="D93" s="21">
        <v>4</v>
      </c>
      <c r="E93" s="6" t="s">
        <v>194</v>
      </c>
      <c r="F93" s="7">
        <v>16000</v>
      </c>
      <c r="G93" s="7">
        <v>16000</v>
      </c>
      <c r="H93" s="7">
        <v>10000</v>
      </c>
      <c r="I93" s="21" t="s">
        <v>213</v>
      </c>
      <c r="J93" s="3"/>
    </row>
    <row r="94" spans="1:10" ht="10" customHeight="1" x14ac:dyDescent="0.2">
      <c r="A94" s="3" t="s">
        <v>170</v>
      </c>
      <c r="B94" s="6" t="s">
        <v>281</v>
      </c>
      <c r="C94" s="6" t="s">
        <v>223</v>
      </c>
      <c r="D94" s="21">
        <v>4</v>
      </c>
      <c r="E94" s="6" t="s">
        <v>194</v>
      </c>
      <c r="F94" s="7">
        <v>10000</v>
      </c>
      <c r="G94" s="7">
        <v>11000</v>
      </c>
      <c r="H94" s="7">
        <v>12900</v>
      </c>
      <c r="I94" s="21" t="s">
        <v>216</v>
      </c>
      <c r="J94" s="3"/>
    </row>
    <row r="95" spans="1:10" ht="10" customHeight="1" x14ac:dyDescent="0.2">
      <c r="A95" s="3" t="s">
        <v>282</v>
      </c>
      <c r="B95" s="6" t="s">
        <v>283</v>
      </c>
      <c r="C95" s="6" t="s">
        <v>206</v>
      </c>
      <c r="D95" s="21">
        <v>5</v>
      </c>
      <c r="E95" s="6" t="s">
        <v>284</v>
      </c>
      <c r="F95" s="7">
        <v>0</v>
      </c>
      <c r="G95" s="7">
        <v>811143</v>
      </c>
      <c r="H95" s="7">
        <v>1779011</v>
      </c>
      <c r="I95" s="21" t="s">
        <v>94</v>
      </c>
      <c r="J95" s="3"/>
    </row>
    <row r="96" spans="1:10" ht="10" customHeight="1" x14ac:dyDescent="0.2">
      <c r="A96" s="3" t="s">
        <v>282</v>
      </c>
      <c r="B96" s="6" t="s">
        <v>285</v>
      </c>
      <c r="C96" s="6" t="s">
        <v>206</v>
      </c>
      <c r="D96" s="21">
        <v>5</v>
      </c>
      <c r="E96" s="6" t="s">
        <v>284</v>
      </c>
      <c r="F96" s="7">
        <v>42422</v>
      </c>
      <c r="G96" s="7">
        <v>669171</v>
      </c>
      <c r="H96" s="7">
        <v>483100</v>
      </c>
      <c r="I96" s="21" t="s">
        <v>94</v>
      </c>
      <c r="J96" s="3"/>
    </row>
    <row r="97" spans="1:10" ht="10" customHeight="1" x14ac:dyDescent="0.2">
      <c r="A97" s="3" t="s">
        <v>282</v>
      </c>
      <c r="B97" s="6" t="s">
        <v>286</v>
      </c>
      <c r="C97" s="6" t="s">
        <v>206</v>
      </c>
      <c r="D97" s="21">
        <v>5</v>
      </c>
      <c r="E97" s="6" t="s">
        <v>209</v>
      </c>
      <c r="F97" s="7">
        <v>19704</v>
      </c>
      <c r="G97" s="7">
        <v>6660</v>
      </c>
      <c r="H97" s="7">
        <v>12200</v>
      </c>
      <c r="I97" s="21" t="s">
        <v>94</v>
      </c>
      <c r="J97" s="3"/>
    </row>
    <row r="98" spans="1:10" ht="10" customHeight="1" x14ac:dyDescent="0.2">
      <c r="A98" s="3" t="s">
        <v>282</v>
      </c>
      <c r="B98" s="6" t="s">
        <v>287</v>
      </c>
      <c r="C98" s="6" t="s">
        <v>57</v>
      </c>
      <c r="D98" s="21">
        <v>5</v>
      </c>
      <c r="E98" s="6" t="s">
        <v>288</v>
      </c>
      <c r="F98" s="7">
        <v>15286</v>
      </c>
      <c r="G98" s="7">
        <v>45087</v>
      </c>
      <c r="H98" s="7">
        <v>37390</v>
      </c>
      <c r="I98" s="21" t="s">
        <v>94</v>
      </c>
      <c r="J98" s="3"/>
    </row>
    <row r="99" spans="1:10" ht="10" customHeight="1" x14ac:dyDescent="0.2">
      <c r="A99" s="3" t="s">
        <v>282</v>
      </c>
      <c r="B99" s="6" t="s">
        <v>289</v>
      </c>
      <c r="C99" s="6" t="s">
        <v>57</v>
      </c>
      <c r="D99" s="21">
        <v>5</v>
      </c>
      <c r="E99" s="6" t="s">
        <v>209</v>
      </c>
      <c r="F99" s="7">
        <v>728</v>
      </c>
      <c r="G99" s="7">
        <v>0</v>
      </c>
      <c r="H99" s="7">
        <v>493</v>
      </c>
      <c r="I99" s="21" t="s">
        <v>94</v>
      </c>
      <c r="J99" s="3"/>
    </row>
    <row r="100" spans="1:10" ht="10" customHeight="1" x14ac:dyDescent="0.2">
      <c r="A100" s="3" t="s">
        <v>218</v>
      </c>
      <c r="B100" s="6" t="s">
        <v>290</v>
      </c>
      <c r="C100" s="6" t="s">
        <v>60</v>
      </c>
      <c r="D100" s="21">
        <v>5</v>
      </c>
      <c r="E100" s="6" t="s">
        <v>209</v>
      </c>
      <c r="F100" s="7">
        <v>10522</v>
      </c>
      <c r="G100" s="7">
        <v>7352</v>
      </c>
      <c r="H100" s="7">
        <v>19276</v>
      </c>
      <c r="I100" s="21" t="s">
        <v>94</v>
      </c>
      <c r="J100" s="3"/>
    </row>
    <row r="101" spans="1:10" ht="10" customHeight="1" x14ac:dyDescent="0.2">
      <c r="A101" s="3" t="s">
        <v>170</v>
      </c>
      <c r="B101" s="6" t="s">
        <v>291</v>
      </c>
      <c r="C101" s="6" t="s">
        <v>292</v>
      </c>
      <c r="D101" s="21">
        <v>5</v>
      </c>
      <c r="E101" s="6" t="s">
        <v>293</v>
      </c>
      <c r="F101" s="7">
        <v>43000</v>
      </c>
      <c r="G101" s="7">
        <v>43000</v>
      </c>
      <c r="H101" s="7">
        <v>45000</v>
      </c>
      <c r="I101" s="21" t="s">
        <v>213</v>
      </c>
      <c r="J101" s="3"/>
    </row>
    <row r="102" spans="1:10" ht="10" customHeight="1" x14ac:dyDescent="0.2">
      <c r="A102" s="3" t="s">
        <v>170</v>
      </c>
      <c r="B102" s="6" t="s">
        <v>294</v>
      </c>
      <c r="C102" s="6" t="s">
        <v>295</v>
      </c>
      <c r="D102" s="21">
        <v>5</v>
      </c>
      <c r="E102" s="6" t="s">
        <v>296</v>
      </c>
      <c r="F102" s="7">
        <v>46200</v>
      </c>
      <c r="G102" s="7">
        <v>46200</v>
      </c>
      <c r="H102" s="7">
        <v>76000</v>
      </c>
      <c r="I102" s="21" t="s">
        <v>213</v>
      </c>
      <c r="J102" s="3"/>
    </row>
    <row r="103" spans="1:10" ht="10" customHeight="1" x14ac:dyDescent="0.2">
      <c r="A103" s="3" t="s">
        <v>170</v>
      </c>
      <c r="B103" s="6" t="s">
        <v>297</v>
      </c>
      <c r="C103" s="6" t="s">
        <v>298</v>
      </c>
      <c r="D103" s="21">
        <v>5</v>
      </c>
      <c r="E103" s="6" t="s">
        <v>296</v>
      </c>
      <c r="F103" s="7">
        <v>17800</v>
      </c>
      <c r="G103" s="7">
        <v>17800</v>
      </c>
      <c r="H103" s="7">
        <v>15000</v>
      </c>
      <c r="I103" s="21" t="s">
        <v>213</v>
      </c>
      <c r="J103" s="3"/>
    </row>
    <row r="104" spans="1:10" ht="10" customHeight="1" x14ac:dyDescent="0.2">
      <c r="A104" s="3" t="s">
        <v>170</v>
      </c>
      <c r="B104" s="6" t="s">
        <v>299</v>
      </c>
      <c r="C104" s="6" t="s">
        <v>300</v>
      </c>
      <c r="D104" s="21">
        <v>5</v>
      </c>
      <c r="E104" s="6" t="s">
        <v>194</v>
      </c>
      <c r="F104" s="7">
        <v>13000</v>
      </c>
      <c r="G104" s="7">
        <v>13000</v>
      </c>
      <c r="H104" s="7">
        <v>11000</v>
      </c>
      <c r="I104" s="21" t="s">
        <v>213</v>
      </c>
      <c r="J104" s="3"/>
    </row>
    <row r="105" spans="1:10" ht="10" customHeight="1" x14ac:dyDescent="0.2">
      <c r="A105" s="3" t="s">
        <v>170</v>
      </c>
      <c r="B105" s="6" t="s">
        <v>301</v>
      </c>
      <c r="C105" s="6" t="s">
        <v>302</v>
      </c>
      <c r="D105" s="21">
        <v>5</v>
      </c>
      <c r="E105" s="6" t="s">
        <v>296</v>
      </c>
      <c r="F105" s="7">
        <v>0</v>
      </c>
      <c r="G105" s="7">
        <v>0</v>
      </c>
      <c r="H105" s="7">
        <v>5000</v>
      </c>
      <c r="I105" s="21" t="s">
        <v>216</v>
      </c>
      <c r="J105" s="3" t="s">
        <v>303</v>
      </c>
    </row>
    <row r="106" spans="1:10" ht="10" customHeight="1" x14ac:dyDescent="0.2">
      <c r="A106" s="3" t="s">
        <v>170</v>
      </c>
      <c r="B106" s="6" t="s">
        <v>304</v>
      </c>
      <c r="C106" s="6" t="s">
        <v>72</v>
      </c>
      <c r="D106" s="21">
        <v>5</v>
      </c>
      <c r="E106" s="6" t="s">
        <v>209</v>
      </c>
      <c r="F106" s="7">
        <v>1950</v>
      </c>
      <c r="G106" s="7">
        <v>1950</v>
      </c>
      <c r="H106" s="7">
        <v>9270</v>
      </c>
      <c r="I106" s="21" t="s">
        <v>216</v>
      </c>
      <c r="J106" s="3"/>
    </row>
    <row r="107" spans="1:10" ht="10" customHeight="1" x14ac:dyDescent="0.2">
      <c r="A107" s="3" t="s">
        <v>227</v>
      </c>
      <c r="B107" s="6" t="s">
        <v>305</v>
      </c>
      <c r="C107" s="6" t="s">
        <v>44</v>
      </c>
      <c r="D107" s="21">
        <v>6</v>
      </c>
      <c r="E107" s="6" t="s">
        <v>194</v>
      </c>
      <c r="F107" s="7">
        <v>183642</v>
      </c>
      <c r="G107" s="7">
        <v>197600</v>
      </c>
      <c r="H107" s="7">
        <v>209225</v>
      </c>
      <c r="I107" s="21" t="s">
        <v>94</v>
      </c>
      <c r="J107" s="3"/>
    </row>
    <row r="108" spans="1:10" ht="10" customHeight="1" x14ac:dyDescent="0.2">
      <c r="A108" s="3" t="s">
        <v>227</v>
      </c>
      <c r="B108" s="6" t="s">
        <v>306</v>
      </c>
      <c r="C108" s="6" t="s">
        <v>307</v>
      </c>
      <c r="D108" s="21">
        <v>6</v>
      </c>
      <c r="E108" s="6" t="s">
        <v>194</v>
      </c>
      <c r="F108" s="7">
        <v>14157</v>
      </c>
      <c r="G108" s="7">
        <v>7186</v>
      </c>
      <c r="H108" s="7">
        <v>5573</v>
      </c>
      <c r="I108" s="21" t="s">
        <v>94</v>
      </c>
      <c r="J108" s="3" t="s">
        <v>241</v>
      </c>
    </row>
    <row r="109" spans="1:10" ht="10" customHeight="1" x14ac:dyDescent="0.2">
      <c r="A109" s="3" t="s">
        <v>227</v>
      </c>
      <c r="B109" s="6" t="s">
        <v>308</v>
      </c>
      <c r="C109" s="6" t="s">
        <v>206</v>
      </c>
      <c r="D109" s="21">
        <v>6</v>
      </c>
      <c r="E109" s="6" t="s">
        <v>194</v>
      </c>
      <c r="F109" s="7">
        <v>81444</v>
      </c>
      <c r="G109" s="7">
        <v>81505</v>
      </c>
      <c r="H109" s="7">
        <v>86561</v>
      </c>
      <c r="I109" s="21" t="s">
        <v>94</v>
      </c>
      <c r="J109" s="3"/>
    </row>
    <row r="110" spans="1:10" ht="10" customHeight="1" x14ac:dyDescent="0.2">
      <c r="A110" s="3" t="s">
        <v>227</v>
      </c>
      <c r="B110" s="6" t="s">
        <v>309</v>
      </c>
      <c r="C110" s="6" t="s">
        <v>73</v>
      </c>
      <c r="D110" s="21">
        <v>6</v>
      </c>
      <c r="E110" s="6" t="s">
        <v>194</v>
      </c>
      <c r="F110" s="7">
        <v>7548</v>
      </c>
      <c r="G110" s="7">
        <v>8364</v>
      </c>
      <c r="H110" s="7">
        <v>6842</v>
      </c>
      <c r="I110" s="21" t="s">
        <v>94</v>
      </c>
      <c r="J110" s="3"/>
    </row>
    <row r="111" spans="1:10" ht="10" customHeight="1" x14ac:dyDescent="0.2">
      <c r="A111" s="3" t="s">
        <v>227</v>
      </c>
      <c r="B111" s="6" t="s">
        <v>310</v>
      </c>
      <c r="C111" s="6" t="s">
        <v>73</v>
      </c>
      <c r="D111" s="21">
        <v>6</v>
      </c>
      <c r="E111" s="6" t="s">
        <v>194</v>
      </c>
      <c r="F111" s="7">
        <v>446317</v>
      </c>
      <c r="G111" s="7">
        <v>463167</v>
      </c>
      <c r="H111" s="7">
        <v>451307</v>
      </c>
      <c r="I111" s="21" t="s">
        <v>94</v>
      </c>
      <c r="J111" s="3"/>
    </row>
    <row r="112" spans="1:10" ht="10" customHeight="1" x14ac:dyDescent="0.2">
      <c r="A112" s="3" t="s">
        <v>227</v>
      </c>
      <c r="B112" s="6" t="s">
        <v>311</v>
      </c>
      <c r="C112" s="6" t="s">
        <v>73</v>
      </c>
      <c r="D112" s="21">
        <v>6</v>
      </c>
      <c r="E112" s="6" t="s">
        <v>194</v>
      </c>
      <c r="F112" s="7">
        <v>327227</v>
      </c>
      <c r="G112" s="7">
        <v>340900</v>
      </c>
      <c r="H112" s="7">
        <v>355445</v>
      </c>
      <c r="I112" s="21" t="s">
        <v>94</v>
      </c>
      <c r="J112" s="3" t="s">
        <v>247</v>
      </c>
    </row>
    <row r="113" spans="1:10" ht="10" customHeight="1" x14ac:dyDescent="0.2">
      <c r="A113" s="3" t="s">
        <v>227</v>
      </c>
      <c r="B113" s="6" t="s">
        <v>312</v>
      </c>
      <c r="C113" s="6" t="s">
        <v>73</v>
      </c>
      <c r="D113" s="21">
        <v>6</v>
      </c>
      <c r="E113" s="6" t="s">
        <v>199</v>
      </c>
      <c r="F113" s="7">
        <v>255302</v>
      </c>
      <c r="G113" s="7">
        <v>269204</v>
      </c>
      <c r="H113" s="7">
        <v>251345</v>
      </c>
      <c r="I113" s="21" t="s">
        <v>94</v>
      </c>
      <c r="J113" s="3"/>
    </row>
    <row r="114" spans="1:10" ht="10" customHeight="1" x14ac:dyDescent="0.2">
      <c r="A114" s="3" t="s">
        <v>227</v>
      </c>
      <c r="B114" s="6" t="s">
        <v>313</v>
      </c>
      <c r="C114" s="6" t="s">
        <v>73</v>
      </c>
      <c r="D114" s="21">
        <v>6</v>
      </c>
      <c r="E114" s="6" t="s">
        <v>194</v>
      </c>
      <c r="F114" s="7">
        <v>415261</v>
      </c>
      <c r="G114" s="7">
        <v>277773</v>
      </c>
      <c r="H114" s="7">
        <v>410893</v>
      </c>
      <c r="I114" s="21" t="s">
        <v>94</v>
      </c>
      <c r="J114" s="3"/>
    </row>
    <row r="115" spans="1:10" ht="10" customHeight="1" x14ac:dyDescent="0.2">
      <c r="A115" s="3" t="s">
        <v>227</v>
      </c>
      <c r="B115" s="6" t="s">
        <v>314</v>
      </c>
      <c r="C115" s="6" t="s">
        <v>73</v>
      </c>
      <c r="D115" s="21">
        <v>6</v>
      </c>
      <c r="E115" s="6" t="s">
        <v>194</v>
      </c>
      <c r="F115" s="7">
        <v>103028</v>
      </c>
      <c r="G115" s="7">
        <v>104083</v>
      </c>
      <c r="H115" s="7">
        <v>115706</v>
      </c>
      <c r="I115" s="21" t="s">
        <v>94</v>
      </c>
      <c r="J115" s="3"/>
    </row>
    <row r="116" spans="1:10" ht="10" customHeight="1" x14ac:dyDescent="0.2">
      <c r="A116" s="3" t="s">
        <v>227</v>
      </c>
      <c r="B116" s="6" t="s">
        <v>315</v>
      </c>
      <c r="C116" s="6" t="s">
        <v>73</v>
      </c>
      <c r="D116" s="21">
        <v>6</v>
      </c>
      <c r="E116" s="6" t="s">
        <v>194</v>
      </c>
      <c r="F116" s="7">
        <v>22363</v>
      </c>
      <c r="G116" s="7">
        <v>34068</v>
      </c>
      <c r="H116" s="7">
        <v>23672</v>
      </c>
      <c r="I116" s="21" t="s">
        <v>94</v>
      </c>
      <c r="J116" s="3"/>
    </row>
    <row r="117" spans="1:10" ht="10" customHeight="1" x14ac:dyDescent="0.2">
      <c r="A117" s="3" t="s">
        <v>227</v>
      </c>
      <c r="B117" s="6" t="s">
        <v>316</v>
      </c>
      <c r="C117" s="6" t="s">
        <v>73</v>
      </c>
      <c r="D117" s="21">
        <v>6</v>
      </c>
      <c r="E117" s="6" t="s">
        <v>194</v>
      </c>
      <c r="F117" s="7">
        <v>12756</v>
      </c>
      <c r="G117" s="7">
        <v>11062</v>
      </c>
      <c r="H117" s="7">
        <v>14954</v>
      </c>
      <c r="I117" s="21" t="s">
        <v>94</v>
      </c>
      <c r="J117" s="3"/>
    </row>
    <row r="118" spans="1:10" ht="10" customHeight="1" x14ac:dyDescent="0.2">
      <c r="A118" s="3" t="s">
        <v>227</v>
      </c>
      <c r="B118" s="6" t="s">
        <v>317</v>
      </c>
      <c r="C118" s="6" t="s">
        <v>73</v>
      </c>
      <c r="D118" s="21">
        <v>6</v>
      </c>
      <c r="E118" s="6" t="s">
        <v>199</v>
      </c>
      <c r="F118" s="7">
        <v>571260</v>
      </c>
      <c r="G118" s="7">
        <v>628655</v>
      </c>
      <c r="H118" s="7">
        <v>579450</v>
      </c>
      <c r="I118" s="21" t="s">
        <v>94</v>
      </c>
      <c r="J118" s="3" t="s">
        <v>318</v>
      </c>
    </row>
    <row r="119" spans="1:10" ht="10" customHeight="1" x14ac:dyDescent="0.2">
      <c r="A119" s="3" t="s">
        <v>319</v>
      </c>
      <c r="B119" s="6" t="s">
        <v>320</v>
      </c>
      <c r="C119" s="6" t="s">
        <v>73</v>
      </c>
      <c r="D119" s="21">
        <v>6</v>
      </c>
      <c r="E119" s="6" t="s">
        <v>194</v>
      </c>
      <c r="F119" s="7">
        <v>736770</v>
      </c>
      <c r="G119" s="7">
        <v>705144</v>
      </c>
      <c r="H119" s="7">
        <v>883630</v>
      </c>
      <c r="I119" s="21" t="s">
        <v>94</v>
      </c>
      <c r="J119" s="3" t="s">
        <v>321</v>
      </c>
    </row>
    <row r="120" spans="1:10" ht="10" customHeight="1" x14ac:dyDescent="0.2">
      <c r="A120" s="3" t="s">
        <v>221</v>
      </c>
      <c r="B120" s="6" t="s">
        <v>322</v>
      </c>
      <c r="C120" s="6" t="s">
        <v>223</v>
      </c>
      <c r="D120" s="21">
        <v>6</v>
      </c>
      <c r="E120" s="6" t="s">
        <v>296</v>
      </c>
      <c r="F120" s="7">
        <v>5000</v>
      </c>
      <c r="G120" s="7">
        <v>5000</v>
      </c>
      <c r="H120" s="7">
        <v>5000</v>
      </c>
      <c r="I120" s="21" t="s">
        <v>216</v>
      </c>
      <c r="J120" s="3" t="s">
        <v>323</v>
      </c>
    </row>
    <row r="121" spans="1:10" ht="10" customHeight="1" x14ac:dyDescent="0.2">
      <c r="A121" s="3" t="s">
        <v>221</v>
      </c>
      <c r="B121" s="6" t="s">
        <v>324</v>
      </c>
      <c r="C121" s="6" t="s">
        <v>223</v>
      </c>
      <c r="D121" s="21">
        <v>6</v>
      </c>
      <c r="E121" s="6" t="s">
        <v>194</v>
      </c>
      <c r="F121" s="7">
        <v>10500</v>
      </c>
      <c r="G121" s="7">
        <v>10500</v>
      </c>
      <c r="H121" s="7">
        <v>11000</v>
      </c>
      <c r="I121" s="21" t="s">
        <v>216</v>
      </c>
      <c r="J121" s="3"/>
    </row>
    <row r="122" spans="1:10" ht="10" customHeight="1" x14ac:dyDescent="0.2">
      <c r="A122" s="3" t="s">
        <v>227</v>
      </c>
      <c r="B122" s="6" t="s">
        <v>325</v>
      </c>
      <c r="C122" s="6" t="s">
        <v>73</v>
      </c>
      <c r="D122" s="21">
        <v>7</v>
      </c>
      <c r="E122" s="6" t="s">
        <v>194</v>
      </c>
      <c r="F122" s="7">
        <v>129771</v>
      </c>
      <c r="G122" s="7">
        <v>135039</v>
      </c>
      <c r="H122" s="7">
        <v>141596</v>
      </c>
      <c r="I122" s="21" t="s">
        <v>94</v>
      </c>
      <c r="J122" s="3"/>
    </row>
    <row r="123" spans="1:10" ht="10" customHeight="1" x14ac:dyDescent="0.2">
      <c r="A123" s="3" t="s">
        <v>227</v>
      </c>
      <c r="B123" s="6" t="s">
        <v>326</v>
      </c>
      <c r="C123" s="6" t="s">
        <v>73</v>
      </c>
      <c r="D123" s="21">
        <v>7</v>
      </c>
      <c r="E123" s="6" t="s">
        <v>199</v>
      </c>
      <c r="F123" s="7">
        <v>120535</v>
      </c>
      <c r="G123" s="7">
        <v>87573</v>
      </c>
      <c r="H123" s="7">
        <v>81780</v>
      </c>
      <c r="I123" s="21" t="s">
        <v>94</v>
      </c>
      <c r="J123" s="3"/>
    </row>
    <row r="124" spans="1:10" ht="10" customHeight="1" x14ac:dyDescent="0.2">
      <c r="A124" s="3" t="s">
        <v>227</v>
      </c>
      <c r="B124" s="6" t="s">
        <v>327</v>
      </c>
      <c r="C124" s="6" t="s">
        <v>73</v>
      </c>
      <c r="D124" s="21">
        <v>7</v>
      </c>
      <c r="E124" s="6" t="s">
        <v>194</v>
      </c>
      <c r="F124" s="7">
        <v>2200</v>
      </c>
      <c r="G124" s="7">
        <v>2200</v>
      </c>
      <c r="H124" s="7">
        <v>2200</v>
      </c>
      <c r="I124" s="21" t="s">
        <v>216</v>
      </c>
      <c r="J124" s="3" t="s">
        <v>328</v>
      </c>
    </row>
    <row r="125" spans="1:10" ht="10" customHeight="1" x14ac:dyDescent="0.2">
      <c r="A125" s="3" t="s">
        <v>221</v>
      </c>
      <c r="B125" s="6" t="s">
        <v>329</v>
      </c>
      <c r="C125" s="6" t="s">
        <v>223</v>
      </c>
      <c r="D125" s="21">
        <v>7</v>
      </c>
      <c r="E125" s="6" t="s">
        <v>194</v>
      </c>
      <c r="F125" s="7">
        <v>2000</v>
      </c>
      <c r="G125" s="7">
        <v>2100</v>
      </c>
      <c r="H125" s="7">
        <v>2200</v>
      </c>
      <c r="I125" s="21" t="s">
        <v>216</v>
      </c>
      <c r="J125" s="3"/>
    </row>
  </sheetData>
  <autoFilter ref="A4:J12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7A99"/>
  </sheetPr>
  <dimension ref="A1:H79"/>
  <sheetViews>
    <sheetView showGridLines="0" workbookViewId="0"/>
  </sheetViews>
  <sheetFormatPr baseColWidth="10" defaultColWidth="8.83203125" defaultRowHeight="15" x14ac:dyDescent="0.2"/>
  <cols>
    <col min="1" max="1" width="24" customWidth="1"/>
    <col min="2" max="8" width="12" customWidth="1"/>
  </cols>
  <sheetData>
    <row r="1" spans="1:8" ht="10" customHeight="1" x14ac:dyDescent="0.2">
      <c r="A1" s="1" t="s">
        <v>330</v>
      </c>
      <c r="B1" s="1"/>
      <c r="C1" s="1"/>
      <c r="D1" s="1"/>
      <c r="E1" s="1"/>
      <c r="F1" s="1"/>
      <c r="G1" s="1"/>
      <c r="H1" s="1"/>
    </row>
    <row r="2" spans="1:8" ht="10" customHeight="1" x14ac:dyDescent="0.2">
      <c r="A2" s="2" t="s">
        <v>331</v>
      </c>
      <c r="B2" s="2"/>
      <c r="C2" s="2"/>
      <c r="D2" s="2"/>
      <c r="E2" s="2"/>
      <c r="F2" s="2"/>
      <c r="G2" s="2"/>
      <c r="H2" s="2"/>
    </row>
    <row r="3" spans="1:8" ht="10" customHeight="1" x14ac:dyDescent="0.2">
      <c r="A3" s="3" t="s">
        <v>2</v>
      </c>
      <c r="B3" s="3"/>
      <c r="C3" s="3"/>
      <c r="D3" s="3"/>
      <c r="E3" s="3"/>
      <c r="F3" s="3"/>
      <c r="G3" s="3"/>
      <c r="H3" s="3"/>
    </row>
    <row r="4" spans="1:8" ht="10" customHeight="1" x14ac:dyDescent="0.2">
      <c r="A4" s="20"/>
      <c r="B4" s="20"/>
      <c r="C4" s="20"/>
      <c r="D4" s="20"/>
      <c r="E4" s="20"/>
      <c r="F4" s="20"/>
      <c r="G4" s="20"/>
      <c r="H4" s="20"/>
    </row>
    <row r="5" spans="1:8" ht="10" customHeight="1" x14ac:dyDescent="0.2">
      <c r="A5" s="22" t="s">
        <v>332</v>
      </c>
      <c r="B5" s="22"/>
      <c r="C5" s="22"/>
      <c r="D5" s="22"/>
      <c r="E5" s="22"/>
      <c r="F5" s="22"/>
      <c r="G5" s="22"/>
      <c r="H5" s="22"/>
    </row>
    <row r="6" spans="1:8" ht="10" customHeight="1" x14ac:dyDescent="0.2">
      <c r="A6" s="4" t="s">
        <v>333</v>
      </c>
      <c r="B6" s="5" t="s">
        <v>334</v>
      </c>
      <c r="C6" s="5" t="s">
        <v>335</v>
      </c>
      <c r="D6" s="5" t="s">
        <v>336</v>
      </c>
      <c r="E6" s="5" t="s">
        <v>337</v>
      </c>
      <c r="F6" s="5" t="s">
        <v>338</v>
      </c>
      <c r="G6" s="5" t="s">
        <v>339</v>
      </c>
      <c r="H6" s="5" t="s">
        <v>340</v>
      </c>
    </row>
    <row r="7" spans="1:8" ht="10" customHeight="1" x14ac:dyDescent="0.2">
      <c r="A7" s="6" t="s">
        <v>341</v>
      </c>
      <c r="B7" s="7">
        <v>1796346</v>
      </c>
      <c r="C7" s="7">
        <v>2748996</v>
      </c>
      <c r="D7" s="7">
        <v>2897547</v>
      </c>
      <c r="E7" s="8">
        <v>0.95</v>
      </c>
      <c r="F7" s="7">
        <v>2720122</v>
      </c>
      <c r="G7" s="7">
        <v>3030280</v>
      </c>
      <c r="H7" s="8">
        <v>0.9</v>
      </c>
    </row>
    <row r="8" spans="1:8" ht="10" customHeight="1" x14ac:dyDescent="0.2">
      <c r="A8" s="6" t="s">
        <v>342</v>
      </c>
      <c r="B8" s="7">
        <v>278</v>
      </c>
      <c r="C8" s="7">
        <v>312</v>
      </c>
      <c r="D8" s="7">
        <v>312</v>
      </c>
      <c r="E8" s="8">
        <v>1</v>
      </c>
      <c r="F8" s="7">
        <v>312</v>
      </c>
      <c r="G8" s="7">
        <v>323</v>
      </c>
      <c r="H8" s="8">
        <v>0.97</v>
      </c>
    </row>
    <row r="9" spans="1:8" ht="10" customHeight="1" x14ac:dyDescent="0.2">
      <c r="A9" s="6" t="s">
        <v>206</v>
      </c>
      <c r="B9" s="7">
        <v>0</v>
      </c>
      <c r="C9" s="7">
        <v>0</v>
      </c>
      <c r="D9" s="7">
        <v>0</v>
      </c>
      <c r="E9" s="9" t="s">
        <v>38</v>
      </c>
      <c r="F9" s="7">
        <v>17657</v>
      </c>
      <c r="G9" s="7">
        <v>18054</v>
      </c>
      <c r="H9" s="8">
        <v>0.98</v>
      </c>
    </row>
    <row r="10" spans="1:8" ht="10" customHeight="1" x14ac:dyDescent="0.2">
      <c r="A10" s="6" t="s">
        <v>343</v>
      </c>
      <c r="B10" s="7">
        <v>732057</v>
      </c>
      <c r="C10" s="7">
        <v>563674</v>
      </c>
      <c r="D10" s="7">
        <v>595584</v>
      </c>
      <c r="E10" s="8">
        <v>0.95</v>
      </c>
      <c r="F10" s="7">
        <v>525288</v>
      </c>
      <c r="G10" s="7">
        <v>568246</v>
      </c>
      <c r="H10" s="8">
        <v>0.92</v>
      </c>
    </row>
    <row r="11" spans="1:8" ht="10" customHeight="1" x14ac:dyDescent="0.2">
      <c r="A11" s="6" t="s">
        <v>44</v>
      </c>
      <c r="B11" s="7">
        <v>0</v>
      </c>
      <c r="C11" s="7">
        <v>0</v>
      </c>
      <c r="D11" s="7">
        <v>0</v>
      </c>
      <c r="E11" s="9" t="s">
        <v>38</v>
      </c>
      <c r="F11" s="7">
        <v>6174</v>
      </c>
      <c r="G11" s="7">
        <v>7358</v>
      </c>
      <c r="H11" s="8">
        <v>0.84</v>
      </c>
    </row>
    <row r="12" spans="1:8" ht="10" customHeight="1" x14ac:dyDescent="0.2">
      <c r="A12" s="6" t="s">
        <v>344</v>
      </c>
      <c r="B12" s="7">
        <v>2524018</v>
      </c>
      <c r="C12" s="7">
        <v>2635557</v>
      </c>
      <c r="D12" s="7">
        <v>2765819</v>
      </c>
      <c r="E12" s="8">
        <v>0.95</v>
      </c>
      <c r="F12" s="7">
        <v>2431863</v>
      </c>
      <c r="G12" s="7">
        <v>2531177</v>
      </c>
      <c r="H12" s="8">
        <v>0.96</v>
      </c>
    </row>
    <row r="13" spans="1:8" ht="10" customHeight="1" x14ac:dyDescent="0.2">
      <c r="A13" s="6" t="s">
        <v>345</v>
      </c>
      <c r="B13" s="7">
        <v>1964943</v>
      </c>
      <c r="C13" s="7">
        <v>1633867</v>
      </c>
      <c r="D13" s="7">
        <v>1758233</v>
      </c>
      <c r="E13" s="8">
        <v>0.93</v>
      </c>
      <c r="F13" s="7">
        <v>1410798</v>
      </c>
      <c r="G13" s="7">
        <v>1598434</v>
      </c>
      <c r="H13" s="8">
        <v>0.88</v>
      </c>
    </row>
    <row r="14" spans="1:8" ht="10" customHeight="1" x14ac:dyDescent="0.2">
      <c r="A14" s="6" t="s">
        <v>346</v>
      </c>
      <c r="B14" s="7">
        <v>94867</v>
      </c>
      <c r="C14" s="7">
        <v>126352</v>
      </c>
      <c r="D14" s="7">
        <v>126352</v>
      </c>
      <c r="E14" s="8">
        <v>1</v>
      </c>
      <c r="F14" s="7">
        <v>584293</v>
      </c>
      <c r="G14" s="7">
        <v>592946</v>
      </c>
      <c r="H14" s="8">
        <v>0.99</v>
      </c>
    </row>
    <row r="15" spans="1:8" ht="10" customHeight="1" x14ac:dyDescent="0.2">
      <c r="A15" s="6" t="s">
        <v>347</v>
      </c>
      <c r="B15" s="7">
        <v>424396</v>
      </c>
      <c r="C15" s="7">
        <v>276204</v>
      </c>
      <c r="D15" s="7">
        <v>276424</v>
      </c>
      <c r="E15" s="8">
        <v>1</v>
      </c>
      <c r="F15" s="7">
        <v>301080</v>
      </c>
      <c r="G15" s="7">
        <v>307425</v>
      </c>
      <c r="H15" s="8">
        <v>0.98</v>
      </c>
    </row>
    <row r="16" spans="1:8" ht="10" customHeight="1" x14ac:dyDescent="0.2">
      <c r="A16" s="6" t="s">
        <v>348</v>
      </c>
      <c r="B16" s="7">
        <v>0</v>
      </c>
      <c r="C16" s="7">
        <v>0</v>
      </c>
      <c r="D16" s="7">
        <v>0</v>
      </c>
      <c r="E16" s="9" t="s">
        <v>38</v>
      </c>
      <c r="F16" s="7">
        <v>67781</v>
      </c>
      <c r="G16" s="7">
        <v>67846</v>
      </c>
      <c r="H16" s="8">
        <v>1</v>
      </c>
    </row>
    <row r="17" spans="1:8" ht="10" customHeight="1" x14ac:dyDescent="0.2">
      <c r="A17" s="6" t="s">
        <v>349</v>
      </c>
      <c r="B17" s="7">
        <v>518125</v>
      </c>
      <c r="C17" s="7">
        <v>474175</v>
      </c>
      <c r="D17" s="7">
        <v>499230</v>
      </c>
      <c r="E17" s="8">
        <v>0.95</v>
      </c>
      <c r="F17" s="7">
        <v>180719</v>
      </c>
      <c r="G17" s="7">
        <v>223014</v>
      </c>
      <c r="H17" s="8">
        <v>0.81</v>
      </c>
    </row>
    <row r="18" spans="1:8" ht="10" customHeight="1" x14ac:dyDescent="0.2">
      <c r="A18" s="6" t="s">
        <v>47</v>
      </c>
      <c r="B18" s="7">
        <v>241434</v>
      </c>
      <c r="C18" s="7">
        <v>225747</v>
      </c>
      <c r="D18" s="7">
        <v>237189</v>
      </c>
      <c r="E18" s="8">
        <v>0.95</v>
      </c>
      <c r="F18" s="7">
        <v>230789</v>
      </c>
      <c r="G18" s="7">
        <v>346046</v>
      </c>
      <c r="H18" s="8">
        <v>0.67</v>
      </c>
    </row>
    <row r="19" spans="1:8" ht="10" customHeight="1" x14ac:dyDescent="0.2">
      <c r="A19" s="6" t="s">
        <v>122</v>
      </c>
      <c r="B19" s="7">
        <v>0</v>
      </c>
      <c r="C19" s="7">
        <v>0</v>
      </c>
      <c r="D19" s="7">
        <v>0</v>
      </c>
      <c r="E19" s="9" t="s">
        <v>38</v>
      </c>
      <c r="F19" s="7">
        <v>105286</v>
      </c>
      <c r="G19" s="7">
        <v>105354</v>
      </c>
      <c r="H19" s="8">
        <v>1</v>
      </c>
    </row>
    <row r="20" spans="1:8" ht="10" customHeight="1" x14ac:dyDescent="0.2">
      <c r="A20" s="6" t="s">
        <v>51</v>
      </c>
      <c r="B20" s="7">
        <v>0</v>
      </c>
      <c r="C20" s="7">
        <v>0</v>
      </c>
      <c r="D20" s="7">
        <v>0</v>
      </c>
      <c r="E20" s="9" t="s">
        <v>38</v>
      </c>
      <c r="F20" s="7">
        <v>29116</v>
      </c>
      <c r="G20" s="7">
        <v>30946</v>
      </c>
      <c r="H20" s="8">
        <v>0.94</v>
      </c>
    </row>
    <row r="21" spans="1:8" ht="10" customHeight="1" x14ac:dyDescent="0.2">
      <c r="A21" s="6" t="s">
        <v>350</v>
      </c>
      <c r="B21" s="7">
        <v>0</v>
      </c>
      <c r="C21" s="7">
        <v>0</v>
      </c>
      <c r="D21" s="7">
        <v>0</v>
      </c>
      <c r="E21" s="9" t="s">
        <v>38</v>
      </c>
      <c r="F21" s="7">
        <v>36577</v>
      </c>
      <c r="G21" s="7">
        <v>37210</v>
      </c>
      <c r="H21" s="8">
        <v>0.98</v>
      </c>
    </row>
    <row r="22" spans="1:8" ht="10" customHeight="1" x14ac:dyDescent="0.2">
      <c r="A22" s="6" t="s">
        <v>52</v>
      </c>
      <c r="B22" s="7">
        <v>0</v>
      </c>
      <c r="C22" s="7">
        <v>0</v>
      </c>
      <c r="D22" s="7">
        <v>0</v>
      </c>
      <c r="E22" s="9" t="s">
        <v>38</v>
      </c>
      <c r="F22" s="7">
        <v>73346</v>
      </c>
      <c r="G22" s="7">
        <v>97543</v>
      </c>
      <c r="H22" s="8">
        <v>0.75</v>
      </c>
    </row>
    <row r="23" spans="1:8" ht="10" customHeight="1" x14ac:dyDescent="0.2">
      <c r="A23" s="6" t="s">
        <v>351</v>
      </c>
      <c r="B23" s="7">
        <v>106091</v>
      </c>
      <c r="C23" s="7">
        <v>50328</v>
      </c>
      <c r="D23" s="7">
        <v>51680</v>
      </c>
      <c r="E23" s="8">
        <v>0.97</v>
      </c>
      <c r="F23" s="7">
        <v>40292</v>
      </c>
      <c r="G23" s="7">
        <v>42503</v>
      </c>
      <c r="H23" s="8">
        <v>0.95</v>
      </c>
    </row>
    <row r="24" spans="1:8" ht="10" customHeight="1" x14ac:dyDescent="0.2">
      <c r="A24" s="6" t="s">
        <v>352</v>
      </c>
      <c r="B24" s="7">
        <v>6850</v>
      </c>
      <c r="C24" s="7">
        <v>20241</v>
      </c>
      <c r="D24" s="7">
        <v>20629</v>
      </c>
      <c r="E24" s="8">
        <v>0.98</v>
      </c>
      <c r="F24" s="7">
        <v>19655</v>
      </c>
      <c r="G24" s="7">
        <v>22134</v>
      </c>
      <c r="H24" s="8">
        <v>0.89</v>
      </c>
    </row>
    <row r="25" spans="1:8" ht="10" customHeight="1" x14ac:dyDescent="0.2">
      <c r="A25" s="6" t="s">
        <v>60</v>
      </c>
      <c r="B25" s="7">
        <v>5496</v>
      </c>
      <c r="C25" s="7">
        <v>517</v>
      </c>
      <c r="D25" s="7">
        <v>517</v>
      </c>
      <c r="E25" s="8">
        <v>1</v>
      </c>
      <c r="F25" s="7">
        <v>3899</v>
      </c>
      <c r="G25" s="7">
        <v>57265</v>
      </c>
      <c r="H25" s="8">
        <v>7.0000000000000007E-2</v>
      </c>
    </row>
    <row r="26" spans="1:8" ht="10" customHeight="1" x14ac:dyDescent="0.2">
      <c r="A26" s="6" t="s">
        <v>353</v>
      </c>
      <c r="B26" s="7">
        <v>15372</v>
      </c>
      <c r="C26" s="7">
        <v>65480</v>
      </c>
      <c r="D26" s="7">
        <v>65674</v>
      </c>
      <c r="E26" s="8">
        <v>1</v>
      </c>
      <c r="F26" s="7">
        <v>2762</v>
      </c>
      <c r="G26" s="7">
        <v>3093</v>
      </c>
      <c r="H26" s="8">
        <v>0.89</v>
      </c>
    </row>
    <row r="27" spans="1:8" ht="10" customHeight="1" x14ac:dyDescent="0.2">
      <c r="A27" s="6" t="s">
        <v>354</v>
      </c>
      <c r="B27" s="7">
        <v>55837</v>
      </c>
      <c r="C27" s="7">
        <v>46252</v>
      </c>
      <c r="D27" s="7">
        <v>47028</v>
      </c>
      <c r="E27" s="8">
        <v>0.98</v>
      </c>
      <c r="F27" s="7">
        <v>10813</v>
      </c>
      <c r="G27" s="7">
        <v>13189</v>
      </c>
      <c r="H27" s="8">
        <v>0.82</v>
      </c>
    </row>
    <row r="28" spans="1:8" ht="10" customHeight="1" x14ac:dyDescent="0.2">
      <c r="A28" s="6" t="s">
        <v>355</v>
      </c>
      <c r="B28" s="7">
        <v>13902</v>
      </c>
      <c r="C28" s="7">
        <v>27805</v>
      </c>
      <c r="D28" s="7">
        <v>27805</v>
      </c>
      <c r="E28" s="8">
        <v>1</v>
      </c>
      <c r="F28" s="7">
        <v>27382</v>
      </c>
      <c r="G28" s="7">
        <v>29120</v>
      </c>
      <c r="H28" s="8">
        <v>0.94</v>
      </c>
    </row>
    <row r="29" spans="1:8" ht="10" customHeight="1" x14ac:dyDescent="0.2">
      <c r="A29" s="6" t="s">
        <v>356</v>
      </c>
      <c r="B29" s="7">
        <v>1903</v>
      </c>
      <c r="C29" s="7">
        <v>89284</v>
      </c>
      <c r="D29" s="7">
        <v>89284</v>
      </c>
      <c r="E29" s="8">
        <v>1</v>
      </c>
      <c r="F29" s="7">
        <v>24967</v>
      </c>
      <c r="G29" s="7">
        <v>24967</v>
      </c>
      <c r="H29" s="8">
        <v>1</v>
      </c>
    </row>
    <row r="30" spans="1:8" ht="10" customHeight="1" x14ac:dyDescent="0.2">
      <c r="A30" s="6" t="s">
        <v>357</v>
      </c>
      <c r="B30" s="7">
        <v>17244</v>
      </c>
      <c r="C30" s="7">
        <v>23306</v>
      </c>
      <c r="D30" s="7">
        <v>23632</v>
      </c>
      <c r="E30" s="8">
        <v>0.99</v>
      </c>
      <c r="F30" s="7">
        <v>8400</v>
      </c>
      <c r="G30" s="7">
        <v>8751</v>
      </c>
      <c r="H30" s="8">
        <v>0.96</v>
      </c>
    </row>
    <row r="31" spans="1:8" ht="10" customHeight="1" x14ac:dyDescent="0.2">
      <c r="A31" s="20"/>
      <c r="B31" s="20"/>
      <c r="C31" s="20"/>
      <c r="D31" s="20"/>
      <c r="E31" s="20"/>
      <c r="F31" s="20"/>
      <c r="G31" s="20"/>
      <c r="H31" s="20"/>
    </row>
    <row r="32" spans="1:8" ht="10" customHeight="1" x14ac:dyDescent="0.2">
      <c r="A32" s="22" t="s">
        <v>358</v>
      </c>
      <c r="B32" s="22"/>
      <c r="C32" s="22"/>
      <c r="D32" s="22"/>
      <c r="E32" s="22"/>
      <c r="F32" s="22"/>
      <c r="G32" s="22"/>
      <c r="H32" s="22"/>
    </row>
    <row r="33" spans="1:8" ht="10" customHeight="1" x14ac:dyDescent="0.2">
      <c r="A33" s="4" t="s">
        <v>333</v>
      </c>
      <c r="B33" s="5" t="s">
        <v>334</v>
      </c>
      <c r="C33" s="5" t="s">
        <v>335</v>
      </c>
      <c r="D33" s="5" t="s">
        <v>336</v>
      </c>
      <c r="E33" s="5" t="s">
        <v>337</v>
      </c>
      <c r="F33" s="5" t="s">
        <v>338</v>
      </c>
      <c r="G33" s="5" t="s">
        <v>339</v>
      </c>
      <c r="H33" s="5" t="s">
        <v>340</v>
      </c>
    </row>
    <row r="34" spans="1:8" ht="10" customHeight="1" x14ac:dyDescent="0.2">
      <c r="A34" s="6" t="s">
        <v>343</v>
      </c>
      <c r="B34" s="7">
        <v>106432</v>
      </c>
      <c r="C34" s="7">
        <v>100690</v>
      </c>
      <c r="D34" s="7">
        <v>100690</v>
      </c>
      <c r="E34" s="8">
        <v>1</v>
      </c>
      <c r="F34" s="7">
        <v>123497</v>
      </c>
      <c r="G34" s="7">
        <v>123497</v>
      </c>
      <c r="H34" s="8">
        <v>1</v>
      </c>
    </row>
    <row r="35" spans="1:8" ht="10" customHeight="1" x14ac:dyDescent="0.2">
      <c r="A35" s="6" t="s">
        <v>47</v>
      </c>
      <c r="B35" s="7">
        <v>60812</v>
      </c>
      <c r="C35" s="7">
        <v>69375</v>
      </c>
      <c r="D35" s="7">
        <v>69375</v>
      </c>
      <c r="E35" s="8">
        <v>1</v>
      </c>
      <c r="F35" s="7">
        <v>69759</v>
      </c>
      <c r="G35" s="7">
        <v>69759</v>
      </c>
      <c r="H35" s="8">
        <v>1</v>
      </c>
    </row>
    <row r="36" spans="1:8" ht="10" customHeight="1" x14ac:dyDescent="0.2">
      <c r="A36" s="6" t="s">
        <v>351</v>
      </c>
      <c r="B36" s="7">
        <v>3066</v>
      </c>
      <c r="C36" s="7">
        <v>5200</v>
      </c>
      <c r="D36" s="7">
        <v>5200</v>
      </c>
      <c r="E36" s="8">
        <v>1</v>
      </c>
      <c r="F36" s="7">
        <v>5969</v>
      </c>
      <c r="G36" s="7">
        <v>5969</v>
      </c>
      <c r="H36" s="8">
        <v>1</v>
      </c>
    </row>
    <row r="37" spans="1:8" ht="10" customHeight="1" x14ac:dyDescent="0.2">
      <c r="A37" s="6" t="s">
        <v>44</v>
      </c>
      <c r="B37" s="7">
        <v>0</v>
      </c>
      <c r="C37" s="7">
        <v>3950</v>
      </c>
      <c r="D37" s="7">
        <v>3950</v>
      </c>
      <c r="E37" s="8">
        <v>1</v>
      </c>
      <c r="F37" s="7">
        <v>7645</v>
      </c>
      <c r="G37" s="7">
        <v>7645</v>
      </c>
      <c r="H37" s="8">
        <v>1</v>
      </c>
    </row>
    <row r="38" spans="1:8" ht="10" customHeight="1" x14ac:dyDescent="0.2">
      <c r="A38" s="6" t="s">
        <v>359</v>
      </c>
      <c r="B38" s="7">
        <v>9219</v>
      </c>
      <c r="C38" s="7">
        <v>7720</v>
      </c>
      <c r="D38" s="7">
        <v>7720</v>
      </c>
      <c r="E38" s="8">
        <v>1</v>
      </c>
      <c r="F38" s="7">
        <v>7952</v>
      </c>
      <c r="G38" s="7">
        <v>7952</v>
      </c>
      <c r="H38" s="8">
        <v>1</v>
      </c>
    </row>
    <row r="39" spans="1:8" ht="10" customHeight="1" x14ac:dyDescent="0.2">
      <c r="A39" s="6" t="s">
        <v>349</v>
      </c>
      <c r="B39" s="7">
        <v>15037</v>
      </c>
      <c r="C39" s="7">
        <v>17188</v>
      </c>
      <c r="D39" s="7">
        <v>17188</v>
      </c>
      <c r="E39" s="8">
        <v>1</v>
      </c>
      <c r="F39" s="7">
        <v>0</v>
      </c>
      <c r="G39" s="7">
        <v>0</v>
      </c>
      <c r="H39" s="9" t="s">
        <v>38</v>
      </c>
    </row>
    <row r="40" spans="1:8" ht="10" customHeight="1" x14ac:dyDescent="0.2">
      <c r="A40" s="6" t="s">
        <v>360</v>
      </c>
      <c r="B40" s="7">
        <v>370</v>
      </c>
      <c r="C40" s="7">
        <v>1620</v>
      </c>
      <c r="D40" s="7">
        <v>1620</v>
      </c>
      <c r="E40" s="8">
        <v>1</v>
      </c>
      <c r="F40" s="7">
        <v>1068</v>
      </c>
      <c r="G40" s="7">
        <v>1068</v>
      </c>
      <c r="H40" s="8">
        <v>1</v>
      </c>
    </row>
    <row r="41" spans="1:8" ht="10" customHeight="1" x14ac:dyDescent="0.2">
      <c r="A41" s="6" t="s">
        <v>361</v>
      </c>
      <c r="B41" s="7">
        <v>89976</v>
      </c>
      <c r="C41" s="7">
        <v>155923</v>
      </c>
      <c r="D41" s="7">
        <v>155923</v>
      </c>
      <c r="E41" s="8">
        <v>1</v>
      </c>
      <c r="F41" s="7">
        <v>127665</v>
      </c>
      <c r="G41" s="7">
        <v>127665</v>
      </c>
      <c r="H41" s="8">
        <v>1</v>
      </c>
    </row>
    <row r="42" spans="1:8" ht="10" customHeight="1" x14ac:dyDescent="0.2">
      <c r="A42" s="20"/>
      <c r="B42" s="20"/>
      <c r="C42" s="20"/>
      <c r="D42" s="20"/>
      <c r="E42" s="20"/>
      <c r="F42" s="20"/>
      <c r="G42" s="20"/>
      <c r="H42" s="20"/>
    </row>
    <row r="43" spans="1:8" ht="10" customHeight="1" x14ac:dyDescent="0.2">
      <c r="A43" s="22" t="s">
        <v>362</v>
      </c>
      <c r="B43" s="22"/>
      <c r="C43" s="22"/>
      <c r="D43" s="22"/>
      <c r="E43" s="22"/>
      <c r="F43" s="22"/>
      <c r="G43" s="22"/>
      <c r="H43" s="22"/>
    </row>
    <row r="44" spans="1:8" ht="10" customHeight="1" x14ac:dyDescent="0.2">
      <c r="A44" s="4" t="s">
        <v>333</v>
      </c>
      <c r="B44" s="5" t="s">
        <v>334</v>
      </c>
      <c r="C44" s="5" t="s">
        <v>335</v>
      </c>
      <c r="D44" s="5" t="s">
        <v>336</v>
      </c>
      <c r="E44" s="5" t="s">
        <v>337</v>
      </c>
      <c r="F44" s="5" t="s">
        <v>338</v>
      </c>
      <c r="G44" s="5" t="s">
        <v>339</v>
      </c>
      <c r="H44" s="5" t="s">
        <v>340</v>
      </c>
    </row>
    <row r="45" spans="1:8" ht="10" customHeight="1" x14ac:dyDescent="0.2">
      <c r="A45" s="6" t="s">
        <v>341</v>
      </c>
      <c r="B45" s="7">
        <v>193274</v>
      </c>
      <c r="C45" s="7">
        <v>97736</v>
      </c>
      <c r="D45" s="7">
        <v>102481</v>
      </c>
      <c r="E45" s="8">
        <v>0.95</v>
      </c>
      <c r="F45" s="7">
        <v>364463</v>
      </c>
      <c r="G45" s="7">
        <v>184318</v>
      </c>
      <c r="H45" s="8">
        <v>1.98</v>
      </c>
    </row>
    <row r="46" spans="1:8" ht="10" customHeight="1" x14ac:dyDescent="0.2">
      <c r="A46" s="6" t="s">
        <v>343</v>
      </c>
      <c r="B46" s="7">
        <v>429962</v>
      </c>
      <c r="C46" s="7">
        <v>353844</v>
      </c>
      <c r="D46" s="7">
        <v>405744</v>
      </c>
      <c r="E46" s="8">
        <v>0.87</v>
      </c>
      <c r="F46" s="7">
        <v>426684</v>
      </c>
      <c r="G46" s="7">
        <v>454399</v>
      </c>
      <c r="H46" s="8">
        <v>0.94</v>
      </c>
    </row>
    <row r="47" spans="1:8" ht="10" customHeight="1" x14ac:dyDescent="0.2">
      <c r="A47" s="6" t="s">
        <v>347</v>
      </c>
      <c r="B47" s="7">
        <v>528266</v>
      </c>
      <c r="C47" s="7">
        <v>541600</v>
      </c>
      <c r="D47" s="7">
        <v>550579</v>
      </c>
      <c r="E47" s="8">
        <v>0.98</v>
      </c>
      <c r="F47" s="7">
        <v>577323</v>
      </c>
      <c r="G47" s="7">
        <v>604609</v>
      </c>
      <c r="H47" s="8">
        <v>0.95</v>
      </c>
    </row>
    <row r="48" spans="1:8" ht="10" customHeight="1" x14ac:dyDescent="0.2">
      <c r="A48" s="6" t="s">
        <v>344</v>
      </c>
      <c r="B48" s="7">
        <v>356970</v>
      </c>
      <c r="C48" s="7">
        <v>233706</v>
      </c>
      <c r="D48" s="7">
        <v>258466</v>
      </c>
      <c r="E48" s="8">
        <v>0.9</v>
      </c>
      <c r="F48" s="7">
        <v>259540</v>
      </c>
      <c r="G48" s="7">
        <v>280442</v>
      </c>
      <c r="H48" s="8">
        <v>0.93</v>
      </c>
    </row>
    <row r="49" spans="1:8" ht="10" customHeight="1" x14ac:dyDescent="0.2">
      <c r="A49" s="6" t="s">
        <v>345</v>
      </c>
      <c r="B49" s="7">
        <v>677440</v>
      </c>
      <c r="C49" s="7">
        <v>628771</v>
      </c>
      <c r="D49" s="7">
        <v>660421</v>
      </c>
      <c r="E49" s="8">
        <v>0.95</v>
      </c>
      <c r="F49" s="7">
        <v>453013</v>
      </c>
      <c r="G49" s="7">
        <v>477255</v>
      </c>
      <c r="H49" s="8">
        <v>0.95</v>
      </c>
    </row>
    <row r="50" spans="1:8" ht="10" customHeight="1" x14ac:dyDescent="0.2">
      <c r="A50" s="6" t="s">
        <v>348</v>
      </c>
      <c r="B50" s="7">
        <v>0</v>
      </c>
      <c r="C50" s="7">
        <v>0</v>
      </c>
      <c r="D50" s="7">
        <v>0</v>
      </c>
      <c r="E50" s="9" t="s">
        <v>38</v>
      </c>
      <c r="F50" s="7">
        <v>157370</v>
      </c>
      <c r="G50" s="7">
        <v>162292</v>
      </c>
      <c r="H50" s="8">
        <v>0.97</v>
      </c>
    </row>
    <row r="51" spans="1:8" ht="10" customHeight="1" x14ac:dyDescent="0.2">
      <c r="A51" s="6" t="s">
        <v>346</v>
      </c>
      <c r="B51" s="7">
        <v>0</v>
      </c>
      <c r="C51" s="7">
        <v>0</v>
      </c>
      <c r="D51" s="7">
        <v>0</v>
      </c>
      <c r="E51" s="9" t="s">
        <v>38</v>
      </c>
      <c r="F51" s="7">
        <v>75160</v>
      </c>
      <c r="G51" s="7">
        <v>77571</v>
      </c>
      <c r="H51" s="8">
        <v>0.97</v>
      </c>
    </row>
    <row r="52" spans="1:8" ht="10" customHeight="1" x14ac:dyDescent="0.2">
      <c r="A52" s="6" t="s">
        <v>351</v>
      </c>
      <c r="B52" s="7">
        <v>69927</v>
      </c>
      <c r="C52" s="7">
        <v>83031</v>
      </c>
      <c r="D52" s="7">
        <v>86340</v>
      </c>
      <c r="E52" s="8">
        <v>0.96</v>
      </c>
      <c r="F52" s="7">
        <v>75209</v>
      </c>
      <c r="G52" s="7">
        <v>77398</v>
      </c>
      <c r="H52" s="8">
        <v>0.97</v>
      </c>
    </row>
    <row r="53" spans="1:8" ht="10" customHeight="1" x14ac:dyDescent="0.2">
      <c r="A53" s="6" t="s">
        <v>47</v>
      </c>
      <c r="B53" s="7">
        <v>168387</v>
      </c>
      <c r="C53" s="7">
        <v>233021</v>
      </c>
      <c r="D53" s="7">
        <v>279807</v>
      </c>
      <c r="E53" s="8">
        <v>0.83</v>
      </c>
      <c r="F53" s="7">
        <v>345600</v>
      </c>
      <c r="G53" s="7">
        <v>372513</v>
      </c>
      <c r="H53" s="8">
        <v>0.93</v>
      </c>
    </row>
    <row r="54" spans="1:8" ht="10" customHeight="1" x14ac:dyDescent="0.2">
      <c r="A54" s="6" t="s">
        <v>349</v>
      </c>
      <c r="B54" s="7">
        <v>199393</v>
      </c>
      <c r="C54" s="7">
        <v>196703</v>
      </c>
      <c r="D54" s="7">
        <v>201922</v>
      </c>
      <c r="E54" s="8">
        <v>0.97</v>
      </c>
      <c r="F54" s="7">
        <v>112718</v>
      </c>
      <c r="G54" s="7">
        <v>150945</v>
      </c>
      <c r="H54" s="8">
        <v>0.75</v>
      </c>
    </row>
    <row r="55" spans="1:8" ht="10" customHeight="1" x14ac:dyDescent="0.2">
      <c r="A55" s="6" t="s">
        <v>122</v>
      </c>
      <c r="B55" s="7">
        <v>0</v>
      </c>
      <c r="C55" s="7">
        <v>0</v>
      </c>
      <c r="D55" s="7">
        <v>0</v>
      </c>
      <c r="E55" s="9" t="s">
        <v>38</v>
      </c>
      <c r="F55" s="7">
        <v>44309</v>
      </c>
      <c r="G55" s="7">
        <v>45312</v>
      </c>
      <c r="H55" s="8">
        <v>0.98</v>
      </c>
    </row>
    <row r="56" spans="1:8" ht="10" customHeight="1" x14ac:dyDescent="0.2">
      <c r="A56" s="6" t="s">
        <v>51</v>
      </c>
      <c r="B56" s="7">
        <v>0</v>
      </c>
      <c r="C56" s="7">
        <v>0</v>
      </c>
      <c r="D56" s="7">
        <v>0</v>
      </c>
      <c r="E56" s="9" t="s">
        <v>38</v>
      </c>
      <c r="F56" s="7">
        <v>15896</v>
      </c>
      <c r="G56" s="7">
        <v>16315</v>
      </c>
      <c r="H56" s="8">
        <v>0.97</v>
      </c>
    </row>
    <row r="57" spans="1:8" ht="10" customHeight="1" x14ac:dyDescent="0.2">
      <c r="A57" s="6" t="s">
        <v>350</v>
      </c>
      <c r="B57" s="7">
        <v>0</v>
      </c>
      <c r="C57" s="7">
        <v>0</v>
      </c>
      <c r="D57" s="7">
        <v>0</v>
      </c>
      <c r="E57" s="9" t="s">
        <v>38</v>
      </c>
      <c r="F57" s="7">
        <v>16429</v>
      </c>
      <c r="G57" s="7">
        <v>16573</v>
      </c>
      <c r="H57" s="8">
        <v>0.99</v>
      </c>
    </row>
    <row r="58" spans="1:8" ht="10" customHeight="1" x14ac:dyDescent="0.2">
      <c r="A58" s="6" t="s">
        <v>52</v>
      </c>
      <c r="B58" s="7">
        <v>0</v>
      </c>
      <c r="C58" s="7">
        <v>0</v>
      </c>
      <c r="D58" s="7">
        <v>0</v>
      </c>
      <c r="E58" s="9" t="s">
        <v>38</v>
      </c>
      <c r="F58" s="7">
        <v>21075</v>
      </c>
      <c r="G58" s="7">
        <v>21237</v>
      </c>
      <c r="H58" s="8">
        <v>0.99</v>
      </c>
    </row>
    <row r="59" spans="1:8" ht="10" customHeight="1" x14ac:dyDescent="0.2">
      <c r="A59" s="6" t="s">
        <v>363</v>
      </c>
      <c r="B59" s="7">
        <v>27696</v>
      </c>
      <c r="C59" s="7">
        <v>3724</v>
      </c>
      <c r="D59" s="7">
        <v>3830</v>
      </c>
      <c r="E59" s="8">
        <v>0.97</v>
      </c>
      <c r="F59" s="7">
        <v>4275</v>
      </c>
      <c r="G59" s="7">
        <v>4244</v>
      </c>
      <c r="H59" s="8">
        <v>1.01</v>
      </c>
    </row>
    <row r="60" spans="1:8" ht="10" customHeight="1" x14ac:dyDescent="0.2">
      <c r="A60" s="6" t="s">
        <v>352</v>
      </c>
      <c r="B60" s="7">
        <v>1224</v>
      </c>
      <c r="C60" s="7">
        <v>1454</v>
      </c>
      <c r="D60" s="7">
        <v>1461</v>
      </c>
      <c r="E60" s="8">
        <v>1</v>
      </c>
      <c r="F60" s="7">
        <v>4007</v>
      </c>
      <c r="G60" s="7">
        <v>4091</v>
      </c>
      <c r="H60" s="8">
        <v>0.98</v>
      </c>
    </row>
    <row r="61" spans="1:8" ht="10" customHeight="1" x14ac:dyDescent="0.2">
      <c r="A61" s="6" t="s">
        <v>354</v>
      </c>
      <c r="B61" s="7">
        <v>26770</v>
      </c>
      <c r="C61" s="7">
        <v>24799</v>
      </c>
      <c r="D61" s="7">
        <v>24900</v>
      </c>
      <c r="E61" s="8">
        <v>1</v>
      </c>
      <c r="F61" s="7">
        <v>12468</v>
      </c>
      <c r="G61" s="7">
        <v>12585</v>
      </c>
      <c r="H61" s="8">
        <v>0.99</v>
      </c>
    </row>
    <row r="62" spans="1:8" ht="10" customHeight="1" x14ac:dyDescent="0.2">
      <c r="A62" s="6" t="s">
        <v>353</v>
      </c>
      <c r="B62" s="7">
        <v>11377</v>
      </c>
      <c r="C62" s="7">
        <v>14291</v>
      </c>
      <c r="D62" s="7">
        <v>15325</v>
      </c>
      <c r="E62" s="8">
        <v>0.93</v>
      </c>
      <c r="F62" s="7">
        <v>15511</v>
      </c>
      <c r="G62" s="7">
        <v>15683</v>
      </c>
      <c r="H62" s="8">
        <v>0.99</v>
      </c>
    </row>
    <row r="63" spans="1:8" ht="10" customHeight="1" x14ac:dyDescent="0.2">
      <c r="A63" s="20"/>
      <c r="B63" s="20"/>
      <c r="C63" s="20"/>
      <c r="D63" s="20"/>
      <c r="E63" s="20"/>
      <c r="F63" s="20"/>
      <c r="G63" s="20"/>
      <c r="H63" s="20"/>
    </row>
    <row r="64" spans="1:8" ht="10" customHeight="1" x14ac:dyDescent="0.2">
      <c r="A64" s="22" t="s">
        <v>364</v>
      </c>
      <c r="B64" s="22"/>
      <c r="C64" s="22"/>
      <c r="D64" s="22"/>
      <c r="E64" s="22"/>
      <c r="F64" s="22"/>
      <c r="G64" s="22"/>
      <c r="H64" s="22"/>
    </row>
    <row r="65" spans="1:8" ht="10" customHeight="1" x14ac:dyDescent="0.2">
      <c r="A65" s="4" t="s">
        <v>333</v>
      </c>
      <c r="B65" s="5" t="s">
        <v>334</v>
      </c>
      <c r="C65" s="5" t="s">
        <v>335</v>
      </c>
      <c r="D65" s="5" t="s">
        <v>336</v>
      </c>
      <c r="E65" s="5" t="s">
        <v>337</v>
      </c>
      <c r="F65" s="5" t="s">
        <v>338</v>
      </c>
      <c r="G65" s="5" t="s">
        <v>339</v>
      </c>
      <c r="H65" s="5" t="s">
        <v>340</v>
      </c>
    </row>
    <row r="66" spans="1:8" ht="10" customHeight="1" x14ac:dyDescent="0.2">
      <c r="A66" s="6" t="s">
        <v>343</v>
      </c>
      <c r="B66" s="7">
        <v>1676352</v>
      </c>
      <c r="C66" s="7">
        <v>732451</v>
      </c>
      <c r="D66" s="7">
        <v>814455</v>
      </c>
      <c r="E66" s="9" t="s">
        <v>38</v>
      </c>
      <c r="F66" s="7">
        <v>1282612</v>
      </c>
      <c r="G66" s="7">
        <v>1418118</v>
      </c>
      <c r="H66" s="9" t="s">
        <v>38</v>
      </c>
    </row>
    <row r="67" spans="1:8" ht="10" customHeight="1" x14ac:dyDescent="0.2">
      <c r="A67" s="6" t="s">
        <v>47</v>
      </c>
      <c r="B67" s="7">
        <v>110171</v>
      </c>
      <c r="C67" s="7">
        <v>232091</v>
      </c>
      <c r="D67" s="7">
        <v>232091</v>
      </c>
      <c r="E67" s="9" t="s">
        <v>38</v>
      </c>
      <c r="F67" s="7">
        <v>383361</v>
      </c>
      <c r="G67" s="7">
        <v>383361</v>
      </c>
      <c r="H67" s="9" t="s">
        <v>38</v>
      </c>
    </row>
    <row r="68" spans="1:8" ht="10" customHeight="1" x14ac:dyDescent="0.2">
      <c r="A68" s="6" t="s">
        <v>350</v>
      </c>
      <c r="B68" s="7">
        <v>0</v>
      </c>
      <c r="C68" s="7">
        <v>0</v>
      </c>
      <c r="D68" s="7">
        <v>0</v>
      </c>
      <c r="E68" s="9" t="s">
        <v>38</v>
      </c>
      <c r="F68" s="7">
        <v>395086</v>
      </c>
      <c r="G68" s="7">
        <v>395086</v>
      </c>
      <c r="H68" s="9" t="s">
        <v>38</v>
      </c>
    </row>
    <row r="69" spans="1:8" ht="10" customHeight="1" x14ac:dyDescent="0.2">
      <c r="A69" s="6" t="s">
        <v>349</v>
      </c>
      <c r="B69" s="7">
        <v>573902</v>
      </c>
      <c r="C69" s="7">
        <v>1097648</v>
      </c>
      <c r="D69" s="7">
        <v>1354392</v>
      </c>
      <c r="E69" s="9" t="s">
        <v>38</v>
      </c>
      <c r="F69" s="7">
        <v>236773</v>
      </c>
      <c r="G69" s="7">
        <v>393588</v>
      </c>
      <c r="H69" s="9" t="s">
        <v>38</v>
      </c>
    </row>
    <row r="70" spans="1:8" ht="10" customHeight="1" x14ac:dyDescent="0.2">
      <c r="A70" s="6" t="s">
        <v>351</v>
      </c>
      <c r="B70" s="7">
        <v>0</v>
      </c>
      <c r="C70" s="7">
        <v>0</v>
      </c>
      <c r="D70" s="7">
        <v>0</v>
      </c>
      <c r="E70" s="9" t="s">
        <v>38</v>
      </c>
      <c r="F70" s="7">
        <v>44940</v>
      </c>
      <c r="G70" s="7">
        <v>44940</v>
      </c>
      <c r="H70" s="9" t="s">
        <v>38</v>
      </c>
    </row>
    <row r="71" spans="1:8" ht="10" customHeight="1" x14ac:dyDescent="0.2">
      <c r="A71" s="6" t="s">
        <v>365</v>
      </c>
      <c r="B71" s="7">
        <v>13102</v>
      </c>
      <c r="C71" s="7">
        <v>54832</v>
      </c>
      <c r="D71" s="7">
        <v>54832</v>
      </c>
      <c r="E71" s="9" t="s">
        <v>38</v>
      </c>
      <c r="F71" s="7">
        <v>63908</v>
      </c>
      <c r="G71" s="7">
        <v>63908</v>
      </c>
      <c r="H71" s="9" t="s">
        <v>38</v>
      </c>
    </row>
    <row r="72" spans="1:8" ht="10" customHeight="1" x14ac:dyDescent="0.2">
      <c r="A72" s="6" t="s">
        <v>366</v>
      </c>
      <c r="B72" s="7">
        <v>73142</v>
      </c>
      <c r="C72" s="7">
        <v>2810</v>
      </c>
      <c r="D72" s="7">
        <v>2810</v>
      </c>
      <c r="E72" s="9" t="s">
        <v>38</v>
      </c>
      <c r="F72" s="7">
        <v>53356</v>
      </c>
      <c r="G72" s="7">
        <v>53356</v>
      </c>
      <c r="H72" s="9" t="s">
        <v>38</v>
      </c>
    </row>
    <row r="73" spans="1:8" ht="10" customHeight="1" x14ac:dyDescent="0.2">
      <c r="A73" s="6" t="s">
        <v>367</v>
      </c>
      <c r="B73" s="7">
        <v>7736</v>
      </c>
      <c r="C73" s="7">
        <v>7398</v>
      </c>
      <c r="D73" s="7">
        <v>7398</v>
      </c>
      <c r="E73" s="9" t="s">
        <v>38</v>
      </c>
      <c r="F73" s="7">
        <v>7620</v>
      </c>
      <c r="G73" s="7">
        <v>12047</v>
      </c>
      <c r="H73" s="9" t="s">
        <v>38</v>
      </c>
    </row>
    <row r="74" spans="1:8" ht="10" customHeight="1" x14ac:dyDescent="0.2">
      <c r="A74" s="6" t="s">
        <v>368</v>
      </c>
      <c r="B74" s="7">
        <v>0</v>
      </c>
      <c r="C74" s="7">
        <v>0</v>
      </c>
      <c r="D74" s="7">
        <v>0</v>
      </c>
      <c r="E74" s="9" t="s">
        <v>38</v>
      </c>
      <c r="F74" s="7">
        <v>2669</v>
      </c>
      <c r="G74" s="7">
        <v>2669</v>
      </c>
      <c r="H74" s="9" t="s">
        <v>38</v>
      </c>
    </row>
    <row r="75" spans="1:8" ht="10" customHeight="1" x14ac:dyDescent="0.2">
      <c r="A75" s="6" t="s">
        <v>51</v>
      </c>
      <c r="B75" s="7">
        <v>0</v>
      </c>
      <c r="C75" s="7">
        <v>0</v>
      </c>
      <c r="D75" s="7">
        <v>0</v>
      </c>
      <c r="E75" s="9" t="s">
        <v>38</v>
      </c>
      <c r="F75" s="7">
        <v>12065</v>
      </c>
      <c r="G75" s="7">
        <v>12065</v>
      </c>
      <c r="H75" s="9" t="s">
        <v>38</v>
      </c>
    </row>
    <row r="76" spans="1:8" ht="10" customHeight="1" x14ac:dyDescent="0.2">
      <c r="A76" s="6" t="s">
        <v>122</v>
      </c>
      <c r="B76" s="7">
        <v>0</v>
      </c>
      <c r="C76" s="7">
        <v>0</v>
      </c>
      <c r="D76" s="7">
        <v>0</v>
      </c>
      <c r="E76" s="9" t="s">
        <v>38</v>
      </c>
      <c r="F76" s="7">
        <v>11852</v>
      </c>
      <c r="G76" s="7">
        <v>11852</v>
      </c>
      <c r="H76" s="9" t="s">
        <v>38</v>
      </c>
    </row>
    <row r="77" spans="1:8" ht="10" customHeight="1" x14ac:dyDescent="0.2">
      <c r="A77" s="6" t="s">
        <v>52</v>
      </c>
      <c r="B77" s="7">
        <v>0</v>
      </c>
      <c r="C77" s="7">
        <v>0</v>
      </c>
      <c r="D77" s="7">
        <v>0</v>
      </c>
      <c r="E77" s="9" t="s">
        <v>38</v>
      </c>
      <c r="F77" s="7">
        <v>25931</v>
      </c>
      <c r="G77" s="7">
        <v>25931</v>
      </c>
      <c r="H77" s="9" t="s">
        <v>38</v>
      </c>
    </row>
    <row r="78" spans="1:8" ht="10" customHeight="1" x14ac:dyDescent="0.2">
      <c r="A78" s="6" t="s">
        <v>344</v>
      </c>
      <c r="B78" s="7">
        <v>383868</v>
      </c>
      <c r="C78" s="7">
        <v>330000</v>
      </c>
      <c r="D78" s="7">
        <v>330000</v>
      </c>
      <c r="E78" s="9" t="s">
        <v>38</v>
      </c>
      <c r="F78" s="7">
        <v>0</v>
      </c>
      <c r="G78" s="7">
        <v>0</v>
      </c>
      <c r="H78" s="9" t="s">
        <v>38</v>
      </c>
    </row>
    <row r="79" spans="1:8" ht="10" customHeight="1" x14ac:dyDescent="0.2">
      <c r="A79" s="20"/>
      <c r="B79" s="20"/>
      <c r="C79" s="20"/>
      <c r="D79" s="20"/>
      <c r="E79" s="20"/>
      <c r="F79" s="20"/>
      <c r="G79" s="20"/>
      <c r="H79" s="2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7A99"/>
  </sheetPr>
  <dimension ref="A1:E44"/>
  <sheetViews>
    <sheetView showGridLines="0" workbookViewId="0"/>
  </sheetViews>
  <sheetFormatPr baseColWidth="10" defaultColWidth="8.83203125" defaultRowHeight="15" x14ac:dyDescent="0.2"/>
  <cols>
    <col min="1" max="2" width="34" customWidth="1"/>
    <col min="3" max="3" width="20" customWidth="1"/>
    <col min="4" max="4" width="12" customWidth="1"/>
    <col min="5" max="5" width="10" customWidth="1"/>
  </cols>
  <sheetData>
    <row r="1" spans="1:5" ht="10" customHeight="1" x14ac:dyDescent="0.2">
      <c r="A1" s="1" t="s">
        <v>369</v>
      </c>
      <c r="B1" s="1"/>
      <c r="C1" s="1"/>
      <c r="D1" s="1"/>
      <c r="E1" s="1"/>
    </row>
    <row r="2" spans="1:5" ht="10" customHeight="1" x14ac:dyDescent="0.2">
      <c r="A2" s="2" t="s">
        <v>370</v>
      </c>
      <c r="B2" s="2"/>
      <c r="C2" s="2"/>
      <c r="D2" s="2"/>
      <c r="E2" s="2"/>
    </row>
    <row r="3" spans="1:5" ht="10" customHeight="1" x14ac:dyDescent="0.2">
      <c r="A3" s="20"/>
      <c r="B3" s="20"/>
      <c r="C3" s="20"/>
      <c r="D3" s="20"/>
      <c r="E3" s="20"/>
    </row>
    <row r="4" spans="1:5" ht="10" customHeight="1" x14ac:dyDescent="0.2">
      <c r="A4" s="22" t="s">
        <v>371</v>
      </c>
      <c r="B4" s="22"/>
      <c r="C4" s="22"/>
      <c r="D4" s="22"/>
      <c r="E4" s="22"/>
    </row>
    <row r="5" spans="1:5" ht="10" customHeight="1" x14ac:dyDescent="0.2">
      <c r="A5" s="11" t="s">
        <v>372</v>
      </c>
      <c r="B5" s="6" t="s">
        <v>373</v>
      </c>
      <c r="C5" s="20"/>
      <c r="D5" s="20"/>
      <c r="E5" s="20"/>
    </row>
    <row r="6" spans="1:5" ht="10" customHeight="1" x14ac:dyDescent="0.2">
      <c r="A6" s="11" t="s">
        <v>374</v>
      </c>
      <c r="B6" s="6" t="s">
        <v>375</v>
      </c>
      <c r="C6" s="20"/>
      <c r="D6" s="20"/>
      <c r="E6" s="20"/>
    </row>
    <row r="7" spans="1:5" ht="10" customHeight="1" x14ac:dyDescent="0.2">
      <c r="A7" s="11" t="s">
        <v>376</v>
      </c>
      <c r="B7" s="6" t="s">
        <v>377</v>
      </c>
      <c r="C7" s="20"/>
      <c r="D7" s="20"/>
      <c r="E7" s="20"/>
    </row>
    <row r="8" spans="1:5" ht="10" customHeight="1" x14ac:dyDescent="0.2">
      <c r="A8" s="11" t="s">
        <v>378</v>
      </c>
      <c r="B8" s="6" t="s">
        <v>379</v>
      </c>
      <c r="C8" s="20"/>
      <c r="D8" s="20"/>
      <c r="E8" s="20"/>
    </row>
    <row r="9" spans="1:5" ht="10" customHeight="1" x14ac:dyDescent="0.2">
      <c r="A9" s="11" t="s">
        <v>380</v>
      </c>
      <c r="B9" s="6" t="s">
        <v>381</v>
      </c>
      <c r="C9" s="20"/>
      <c r="D9" s="20"/>
      <c r="E9" s="20"/>
    </row>
    <row r="10" spans="1:5" ht="10" customHeight="1" x14ac:dyDescent="0.2">
      <c r="A10" s="11" t="s">
        <v>382</v>
      </c>
      <c r="B10" s="6" t="s">
        <v>383</v>
      </c>
      <c r="C10" s="20"/>
      <c r="D10" s="20"/>
      <c r="E10" s="20"/>
    </row>
    <row r="11" spans="1:5" ht="10" customHeight="1" x14ac:dyDescent="0.2">
      <c r="A11" s="11" t="s">
        <v>384</v>
      </c>
      <c r="B11" s="6" t="s">
        <v>385</v>
      </c>
      <c r="C11" s="20"/>
      <c r="D11" s="20"/>
      <c r="E11" s="20"/>
    </row>
    <row r="12" spans="1:5" ht="10" customHeight="1" x14ac:dyDescent="0.2">
      <c r="A12" s="20"/>
      <c r="B12" s="20"/>
      <c r="C12" s="20"/>
      <c r="D12" s="20"/>
      <c r="E12" s="20"/>
    </row>
    <row r="13" spans="1:5" ht="10" customHeight="1" x14ac:dyDescent="0.2">
      <c r="A13" s="22" t="s">
        <v>386</v>
      </c>
      <c r="B13" s="22"/>
      <c r="C13" s="22"/>
      <c r="D13" s="22"/>
      <c r="E13" s="22"/>
    </row>
    <row r="14" spans="1:5" ht="10" customHeight="1" x14ac:dyDescent="0.2">
      <c r="A14" s="11" t="s">
        <v>94</v>
      </c>
      <c r="B14" s="6" t="s">
        <v>387</v>
      </c>
      <c r="C14" s="20"/>
      <c r="D14" s="20"/>
      <c r="E14" s="20"/>
    </row>
    <row r="15" spans="1:5" ht="10" customHeight="1" x14ac:dyDescent="0.2">
      <c r="A15" s="11" t="s">
        <v>213</v>
      </c>
      <c r="B15" s="6" t="s">
        <v>388</v>
      </c>
      <c r="C15" s="20"/>
      <c r="D15" s="20"/>
      <c r="E15" s="20"/>
    </row>
    <row r="16" spans="1:5" ht="10" customHeight="1" x14ac:dyDescent="0.2">
      <c r="A16" s="11" t="s">
        <v>216</v>
      </c>
      <c r="B16" s="6" t="s">
        <v>389</v>
      </c>
      <c r="C16" s="20"/>
      <c r="D16" s="20"/>
      <c r="E16" s="20"/>
    </row>
    <row r="17" spans="1:5" ht="10" customHeight="1" x14ac:dyDescent="0.2">
      <c r="A17" s="20"/>
      <c r="B17" s="20"/>
      <c r="C17" s="20"/>
      <c r="D17" s="20"/>
      <c r="E17" s="20"/>
    </row>
    <row r="18" spans="1:5" ht="10" customHeight="1" x14ac:dyDescent="0.2">
      <c r="A18" s="22" t="s">
        <v>390</v>
      </c>
      <c r="B18" s="22"/>
      <c r="C18" s="22"/>
      <c r="D18" s="22"/>
      <c r="E18" s="22"/>
    </row>
    <row r="19" spans="1:5" ht="10" customHeight="1" x14ac:dyDescent="0.2">
      <c r="A19" s="6" t="s">
        <v>391</v>
      </c>
      <c r="B19" s="20"/>
      <c r="C19" s="20"/>
      <c r="D19" s="20"/>
      <c r="E19" s="20"/>
    </row>
    <row r="20" spans="1:5" ht="10" customHeight="1" x14ac:dyDescent="0.2">
      <c r="A20" s="6" t="s">
        <v>392</v>
      </c>
      <c r="B20" s="20"/>
      <c r="C20" s="20"/>
      <c r="D20" s="20"/>
      <c r="E20" s="20"/>
    </row>
    <row r="21" spans="1:5" ht="10" customHeight="1" x14ac:dyDescent="0.2">
      <c r="A21" s="6" t="s">
        <v>393</v>
      </c>
      <c r="B21" s="20"/>
      <c r="C21" s="20"/>
      <c r="D21" s="20"/>
      <c r="E21" s="20"/>
    </row>
    <row r="22" spans="1:5" ht="10" customHeight="1" x14ac:dyDescent="0.2">
      <c r="A22" s="6" t="s">
        <v>394</v>
      </c>
      <c r="B22" s="20"/>
      <c r="C22" s="20"/>
      <c r="D22" s="20"/>
      <c r="E22" s="20"/>
    </row>
    <row r="23" spans="1:5" ht="10" customHeight="1" x14ac:dyDescent="0.2">
      <c r="A23" s="6" t="s">
        <v>395</v>
      </c>
      <c r="B23" s="20"/>
      <c r="C23" s="20"/>
      <c r="D23" s="20"/>
      <c r="E23" s="20"/>
    </row>
    <row r="24" spans="1:5" ht="10" customHeight="1" x14ac:dyDescent="0.2">
      <c r="A24" s="6" t="s">
        <v>396</v>
      </c>
      <c r="B24" s="20"/>
      <c r="C24" s="20"/>
      <c r="D24" s="20"/>
      <c r="E24" s="20"/>
    </row>
    <row r="25" spans="1:5" ht="10" customHeight="1" x14ac:dyDescent="0.2">
      <c r="A25" s="6" t="s">
        <v>397</v>
      </c>
      <c r="B25" s="20"/>
      <c r="C25" s="20"/>
      <c r="D25" s="20"/>
      <c r="E25" s="20"/>
    </row>
    <row r="26" spans="1:5" ht="10" customHeight="1" x14ac:dyDescent="0.2">
      <c r="A26" s="6" t="s">
        <v>398</v>
      </c>
      <c r="B26" s="20"/>
      <c r="C26" s="20"/>
      <c r="D26" s="20"/>
      <c r="E26" s="20"/>
    </row>
    <row r="27" spans="1:5" ht="10" customHeight="1" x14ac:dyDescent="0.2">
      <c r="A27" s="20"/>
      <c r="B27" s="20"/>
      <c r="C27" s="20"/>
      <c r="D27" s="20"/>
      <c r="E27" s="20"/>
    </row>
    <row r="28" spans="1:5" ht="10" customHeight="1" x14ac:dyDescent="0.2">
      <c r="A28" s="22" t="s">
        <v>399</v>
      </c>
      <c r="B28" s="22"/>
      <c r="C28" s="22"/>
      <c r="D28" s="22"/>
      <c r="E28" s="22"/>
    </row>
    <row r="29" spans="1:5" ht="10" customHeight="1" x14ac:dyDescent="0.2">
      <c r="A29" s="11" t="s">
        <v>38</v>
      </c>
      <c r="B29" s="6" t="s">
        <v>400</v>
      </c>
      <c r="C29" s="20"/>
      <c r="D29" s="20"/>
      <c r="E29" s="20"/>
    </row>
    <row r="30" spans="1:5" ht="10" customHeight="1" x14ac:dyDescent="0.2">
      <c r="A30" s="11" t="s">
        <v>401</v>
      </c>
      <c r="B30" s="6" t="s">
        <v>402</v>
      </c>
      <c r="C30" s="20"/>
      <c r="D30" s="20"/>
      <c r="E30" s="20"/>
    </row>
    <row r="31" spans="1:5" ht="10" customHeight="1" x14ac:dyDescent="0.2">
      <c r="A31" s="11" t="s">
        <v>403</v>
      </c>
      <c r="B31" s="6" t="s">
        <v>404</v>
      </c>
      <c r="C31" s="20"/>
      <c r="D31" s="20"/>
      <c r="E31" s="20"/>
    </row>
    <row r="32" spans="1:5" ht="10" customHeight="1" x14ac:dyDescent="0.2">
      <c r="A32" s="11" t="s">
        <v>405</v>
      </c>
      <c r="B32" s="6" t="s">
        <v>406</v>
      </c>
      <c r="C32" s="20"/>
      <c r="D32" s="20"/>
      <c r="E32" s="20"/>
    </row>
    <row r="33" spans="1:5" ht="10" customHeight="1" x14ac:dyDescent="0.2">
      <c r="A33" s="11" t="s">
        <v>407</v>
      </c>
      <c r="B33" s="6" t="s">
        <v>408</v>
      </c>
      <c r="C33" s="20"/>
      <c r="D33" s="20"/>
      <c r="E33" s="20"/>
    </row>
    <row r="34" spans="1:5" ht="10" customHeight="1" x14ac:dyDescent="0.2">
      <c r="A34" s="20"/>
      <c r="B34" s="20"/>
      <c r="C34" s="20"/>
      <c r="D34" s="20"/>
      <c r="E34" s="20"/>
    </row>
    <row r="35" spans="1:5" ht="10" customHeight="1" x14ac:dyDescent="0.2">
      <c r="A35" s="22" t="s">
        <v>409</v>
      </c>
      <c r="B35" s="22"/>
      <c r="C35" s="22"/>
      <c r="D35" s="22"/>
      <c r="E35" s="22"/>
    </row>
    <row r="36" spans="1:5" ht="10" customHeight="1" x14ac:dyDescent="0.2">
      <c r="A36" s="4" t="s">
        <v>4</v>
      </c>
      <c r="B36" s="5" t="s">
        <v>410</v>
      </c>
      <c r="C36" s="5" t="s">
        <v>411</v>
      </c>
      <c r="D36" s="5" t="s">
        <v>412</v>
      </c>
      <c r="E36" s="5" t="s">
        <v>413</v>
      </c>
    </row>
    <row r="37" spans="1:5" ht="10" customHeight="1" x14ac:dyDescent="0.2">
      <c r="A37" s="6" t="s">
        <v>414</v>
      </c>
      <c r="B37" s="17">
        <f>'TAM summary'!G5</f>
        <v>46326000</v>
      </c>
      <c r="C37" s="17">
        <f>'By vessel class'!D46</f>
        <v>46325828</v>
      </c>
      <c r="D37" s="23">
        <f t="shared" ref="D37:D43" si="0">B37-C37</f>
        <v>172</v>
      </c>
      <c r="E37" s="19" t="str">
        <f t="shared" ref="E37:E43" si="1">IF(ABS(D37)&lt;1,"PASS","FAIL")</f>
        <v>FAIL</v>
      </c>
    </row>
    <row r="38" spans="1:5" ht="10" customHeight="1" x14ac:dyDescent="0.2">
      <c r="A38" s="6" t="s">
        <v>415</v>
      </c>
      <c r="B38" s="17">
        <f>'TAM summary'!G6</f>
        <v>13617194</v>
      </c>
      <c r="C38" s="17" t="e">
        <f>'By vessel class'!E46</f>
        <v>#VALUE!</v>
      </c>
      <c r="D38" s="23" t="e">
        <f t="shared" si="0"/>
        <v>#VALUE!</v>
      </c>
      <c r="E38" s="19" t="e">
        <f t="shared" si="1"/>
        <v>#VALUE!</v>
      </c>
    </row>
    <row r="39" spans="1:5" ht="10" customHeight="1" x14ac:dyDescent="0.2">
      <c r="A39" s="6" t="s">
        <v>416</v>
      </c>
      <c r="B39" s="17">
        <f>'TAM summary'!G7</f>
        <v>2234715</v>
      </c>
      <c r="C39" s="17" t="e">
        <f>'By vessel class'!F46</f>
        <v>#VALUE!</v>
      </c>
      <c r="D39" s="23" t="e">
        <f t="shared" si="0"/>
        <v>#VALUE!</v>
      </c>
      <c r="E39" s="19" t="e">
        <f t="shared" si="1"/>
        <v>#VALUE!</v>
      </c>
    </row>
    <row r="40" spans="1:5" ht="10" customHeight="1" x14ac:dyDescent="0.2">
      <c r="A40" s="6" t="s">
        <v>417</v>
      </c>
      <c r="B40" s="17">
        <f>'TAM summary'!G8</f>
        <v>6624111</v>
      </c>
      <c r="C40" s="17" t="e">
        <f>'By vessel class'!G46</f>
        <v>#VALUE!</v>
      </c>
      <c r="D40" s="23" t="e">
        <f t="shared" si="0"/>
        <v>#VALUE!</v>
      </c>
      <c r="E40" s="19" t="e">
        <f t="shared" si="1"/>
        <v>#VALUE!</v>
      </c>
    </row>
    <row r="41" spans="1:5" ht="10" customHeight="1" x14ac:dyDescent="0.2">
      <c r="A41" s="6" t="s">
        <v>418</v>
      </c>
      <c r="B41" s="17">
        <f>'TAM summary'!G9</f>
        <v>2492740</v>
      </c>
      <c r="C41" s="17" t="e">
        <f>'By vessel class'!H46</f>
        <v>#VALUE!</v>
      </c>
      <c r="D41" s="23" t="e">
        <f t="shared" si="0"/>
        <v>#VALUE!</v>
      </c>
      <c r="E41" s="19" t="e">
        <f t="shared" si="1"/>
        <v>#VALUE!</v>
      </c>
    </row>
    <row r="42" spans="1:5" ht="10" customHeight="1" x14ac:dyDescent="0.2">
      <c r="A42" s="6" t="s">
        <v>419</v>
      </c>
      <c r="B42" s="17">
        <f>'TAM summary'!G10</f>
        <v>3411003</v>
      </c>
      <c r="C42" s="17" t="e">
        <f>'By vessel class'!I46</f>
        <v>#VALUE!</v>
      </c>
      <c r="D42" s="23" t="e">
        <f t="shared" si="0"/>
        <v>#VALUE!</v>
      </c>
      <c r="E42" s="19" t="e">
        <f t="shared" si="1"/>
        <v>#VALUE!</v>
      </c>
    </row>
    <row r="43" spans="1:5" ht="10" customHeight="1" x14ac:dyDescent="0.2">
      <c r="A43" s="6" t="s">
        <v>420</v>
      </c>
      <c r="B43" s="17">
        <f>'TAM summary'!G11</f>
        <v>227776</v>
      </c>
      <c r="C43" s="17" t="e">
        <f>'By vessel class'!J46</f>
        <v>#VALUE!</v>
      </c>
      <c r="D43" s="23" t="e">
        <f t="shared" si="0"/>
        <v>#VALUE!</v>
      </c>
      <c r="E43" s="19" t="e">
        <f t="shared" si="1"/>
        <v>#VALUE!</v>
      </c>
    </row>
    <row r="44" spans="1:5" ht="10" customHeight="1" x14ac:dyDescent="0.2">
      <c r="A44" s="20"/>
      <c r="B44" s="20"/>
      <c r="C44" s="20"/>
      <c r="D44" s="20"/>
      <c r="E44" s="2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TAM summary</vt:lpstr>
      <vt:lpstr>By vessel class</vt:lpstr>
      <vt:lpstr>All line items</vt:lpstr>
      <vt:lpstr>PB-61 detail</vt:lpstr>
      <vt:lpstr>Sources and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Brendan Toole</cp:lastModifiedBy>
  <dcterms:created xsi:type="dcterms:W3CDTF">2026-04-06T19:58:23Z</dcterms:created>
  <dcterms:modified xsi:type="dcterms:W3CDTF">2026-04-06T20:00:44Z</dcterms:modified>
</cp:coreProperties>
</file>